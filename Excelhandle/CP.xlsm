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Doc\Work\Python\P3\Excelhandle\"/>
    </mc:Choice>
  </mc:AlternateContent>
  <bookViews>
    <workbookView xWindow="90" yWindow="180" windowWidth="12510" windowHeight="8115" tabRatio="731" firstSheet="2" activeTab="7"/>
  </bookViews>
  <sheets>
    <sheet name="Control" sheetId="4" r:id="rId1"/>
    <sheet name="Statistics" sheetId="33" r:id="rId2"/>
    <sheet name="CSRs" sheetId="24" r:id="rId3"/>
    <sheet name="inflow" sheetId="25" r:id="rId4"/>
    <sheet name="inflow2" sheetId="32" r:id="rId5"/>
    <sheet name="Sheet3" sheetId="31" r:id="rId6"/>
    <sheet name="Customer" sheetId="26" r:id="rId7"/>
    <sheet name="Release" sheetId="27" r:id="rId8"/>
    <sheet name="Sheet1" sheetId="14" r:id="rId9"/>
    <sheet name="Sheet2" sheetId="15" r:id="rId10"/>
  </sheets>
  <functionGroups builtInGroupCount="18"/>
  <definedNames>
    <definedName name="_xlnm._FilterDatabase" localSheetId="2" hidden="1">CSRs!$A$1:$AA$432</definedName>
    <definedName name="SAPCrosstab1" localSheetId="2">#REF!</definedName>
    <definedName name="SAPCrosstab1">#REF!</definedName>
    <definedName name="SAPCrosstab2" localSheetId="2">CSRs!$A$1:$AA$432</definedName>
    <definedName name="SAPCrosstab2">#REF!</definedName>
  </definedNames>
  <calcPr calcId="171027"/>
  <pivotCaches>
    <pivotCache cacheId="0" r:id="rId11"/>
  </pivotCaches>
</workbook>
</file>

<file path=xl/calcChain.xml><?xml version="1.0" encoding="utf-8"?>
<calcChain xmlns="http://schemas.openxmlformats.org/spreadsheetml/2006/main">
  <c r="O3" i="25" l="1"/>
  <c r="O4" i="25"/>
  <c r="O5" i="25"/>
  <c r="O6" i="25"/>
  <c r="O7" i="25"/>
  <c r="O8" i="25"/>
  <c r="O9" i="25"/>
  <c r="O10" i="25"/>
  <c r="O11" i="25"/>
  <c r="O12" i="25"/>
  <c r="O13" i="25"/>
  <c r="O14" i="25"/>
  <c r="O15" i="25"/>
  <c r="O16" i="25"/>
  <c r="O17" i="25"/>
  <c r="O2" i="25"/>
  <c r="D20" i="25" l="1"/>
  <c r="E20" i="25" s="1"/>
  <c r="F20" i="25" s="1"/>
  <c r="G20" i="25" s="1"/>
  <c r="H20" i="25" s="1"/>
  <c r="I20" i="25" s="1"/>
  <c r="J20" i="25" s="1"/>
  <c r="K20" i="25" s="1"/>
  <c r="L20" i="25" s="1"/>
  <c r="M20" i="25" s="1"/>
  <c r="N20" i="25" s="1"/>
  <c r="C19" i="25"/>
  <c r="D19" i="25" s="1"/>
  <c r="E19" i="25" s="1"/>
  <c r="F19" i="25" s="1"/>
  <c r="G19" i="25" s="1"/>
  <c r="H19" i="25" s="1"/>
  <c r="I19" i="25" s="1"/>
  <c r="J19" i="25" s="1"/>
  <c r="K19" i="25" s="1"/>
  <c r="L19" i="25" s="1"/>
  <c r="M19" i="25" s="1"/>
  <c r="N19" i="25" s="1"/>
  <c r="C18" i="25"/>
  <c r="D18" i="25" s="1"/>
  <c r="E18" i="25" s="1"/>
  <c r="F18" i="25" s="1"/>
  <c r="G18" i="25" s="1"/>
  <c r="H18" i="25" s="1"/>
  <c r="I18" i="25" s="1"/>
  <c r="J18" i="25" s="1"/>
  <c r="K18" i="25" s="1"/>
  <c r="L18" i="25" s="1"/>
  <c r="M18" i="25" s="1"/>
  <c r="N18" i="25" s="1"/>
  <c r="C8" i="15" l="1"/>
  <c r="C7" i="15"/>
  <c r="C6" i="15"/>
  <c r="C5" i="15"/>
  <c r="C4" i="15"/>
  <c r="Q14" i="14" l="1"/>
  <c r="Q13" i="14"/>
  <c r="Q12" i="14"/>
  <c r="Q11" i="14"/>
  <c r="Q10" i="14"/>
  <c r="Q9" i="14"/>
  <c r="Q8" i="14"/>
  <c r="Q7" i="14"/>
  <c r="Q6" i="14"/>
  <c r="B14" i="14"/>
  <c r="B13" i="14"/>
  <c r="B12" i="14"/>
  <c r="B11" i="14"/>
  <c r="B10" i="14"/>
  <c r="B9" i="14"/>
  <c r="B8" i="14"/>
  <c r="B7" i="14"/>
  <c r="B6" i="14"/>
  <c r="B5" i="14"/>
  <c r="Q4" i="14" l="1"/>
  <c r="Q5" i="14"/>
  <c r="B3" i="14"/>
  <c r="B4" i="14"/>
  <c r="Q3" i="14"/>
  <c r="B21" i="14" l="1"/>
  <c r="Q77" i="14"/>
  <c r="Q79" i="14"/>
  <c r="Q78" i="14"/>
  <c r="B15" i="14"/>
  <c r="Q19" i="14" s="1"/>
  <c r="Q15" i="14"/>
  <c r="Q21" i="14" s="1"/>
  <c r="Q64" i="14"/>
  <c r="Q66" i="14"/>
  <c r="Q73" i="14"/>
  <c r="Q65" i="14"/>
  <c r="Q70" i="14"/>
  <c r="Q71" i="14"/>
  <c r="Q69" i="14"/>
  <c r="Q67" i="14"/>
  <c r="Q72" i="14"/>
  <c r="Q68" i="14"/>
  <c r="Q39" i="14"/>
  <c r="Q38" i="14"/>
  <c r="Q36" i="14"/>
  <c r="Q37" i="14"/>
  <c r="Q51" i="14"/>
  <c r="AA49" i="14" s="1"/>
  <c r="Q53" i="14"/>
  <c r="Q54" i="14"/>
  <c r="Q46" i="14"/>
  <c r="Q47" i="14"/>
  <c r="Q48" i="14"/>
  <c r="Q49" i="14"/>
  <c r="AA47" i="14" s="1"/>
  <c r="Q52" i="14"/>
  <c r="Q50" i="14"/>
  <c r="AA48" i="14" s="1"/>
  <c r="B57" i="14"/>
  <c r="B104" i="14"/>
  <c r="B98" i="14"/>
  <c r="B103" i="14"/>
  <c r="B97" i="14"/>
  <c r="B87" i="14"/>
  <c r="B33" i="14"/>
  <c r="B102" i="14"/>
  <c r="B100" i="14"/>
  <c r="B96" i="14"/>
  <c r="B101" i="14"/>
  <c r="Q80" i="14" l="1"/>
  <c r="Q20" i="14"/>
  <c r="AA46" i="14"/>
  <c r="AA50" i="14" s="1"/>
  <c r="Q74" i="14"/>
  <c r="Q40" i="14"/>
  <c r="Q55" i="14"/>
  <c r="B92" i="14"/>
  <c r="B80" i="14"/>
  <c r="B81" i="14"/>
  <c r="B82" i="14"/>
  <c r="B89" i="14"/>
  <c r="B37" i="14"/>
  <c r="B91" i="14"/>
  <c r="B38" i="14"/>
  <c r="B52" i="14"/>
  <c r="B79" i="14"/>
  <c r="B78" i="14"/>
  <c r="B51" i="14"/>
  <c r="B32" i="14"/>
  <c r="B77" i="14"/>
  <c r="B30" i="14"/>
  <c r="B68" i="14"/>
  <c r="B70" i="14"/>
  <c r="B67" i="14"/>
  <c r="B55" i="14"/>
  <c r="B73" i="14"/>
  <c r="B42" i="14"/>
  <c r="B66" i="14"/>
  <c r="B86" i="14"/>
  <c r="B49" i="14"/>
  <c r="B75" i="14"/>
  <c r="B93" i="14"/>
  <c r="B60" i="14"/>
  <c r="B90" i="14"/>
  <c r="B84" i="14"/>
  <c r="B62" i="14"/>
  <c r="B24" i="14"/>
  <c r="B36" i="14"/>
  <c r="B28" i="14"/>
  <c r="B34" i="14"/>
  <c r="B59" i="14"/>
  <c r="B61" i="14"/>
  <c r="B39" i="14"/>
  <c r="B72" i="14"/>
  <c r="B64" i="14"/>
  <c r="B31" i="14"/>
  <c r="B53" i="14"/>
  <c r="B69" i="14"/>
  <c r="B27" i="14"/>
  <c r="B54" i="14"/>
  <c r="B22" i="14"/>
  <c r="B50" i="14"/>
  <c r="B29" i="14"/>
  <c r="B65" i="14"/>
  <c r="B58" i="14"/>
  <c r="B95" i="14"/>
  <c r="B76" i="14"/>
  <c r="B83" i="14"/>
  <c r="B71" i="14"/>
  <c r="B88" i="14"/>
  <c r="B94" i="14"/>
  <c r="B63" i="14"/>
  <c r="B56" i="14"/>
  <c r="B48" i="14"/>
  <c r="B26" i="14"/>
  <c r="B99" i="14"/>
  <c r="B85" i="14"/>
  <c r="B23" i="14"/>
  <c r="B40" i="14"/>
  <c r="B35" i="14"/>
  <c r="B74" i="14"/>
  <c r="B25" i="14"/>
  <c r="B41" i="14"/>
  <c r="B105" i="14" l="1"/>
  <c r="B43" i="14"/>
</calcChain>
</file>

<file path=xl/sharedStrings.xml><?xml version="1.0" encoding="utf-8"?>
<sst xmlns="http://schemas.openxmlformats.org/spreadsheetml/2006/main" count="5959" uniqueCount="731">
  <si>
    <t>CSR [Vol]</t>
  </si>
  <si>
    <t>Duration [Days]</t>
  </si>
  <si>
    <t>Duration incl Wait Time [Days]</t>
  </si>
  <si>
    <t>IA Prov [Vol]</t>
  </si>
  <si>
    <t>RST Prov [Vol]</t>
  </si>
  <si>
    <t>RST Prov [Days]</t>
  </si>
  <si>
    <t>RST Tgt [Days]</t>
  </si>
  <si>
    <t>RST Prov on Tgt [Vol]</t>
  </si>
  <si>
    <t>CSR Type</t>
  </si>
  <si>
    <t>CSR Number</t>
  </si>
  <si>
    <t>Node Type</t>
  </si>
  <si>
    <t>Severity</t>
  </si>
  <si>
    <t>Date: First LS-&gt;GS</t>
  </si>
  <si>
    <t>Medium</t>
  </si>
  <si>
    <t>Problem</t>
  </si>
  <si>
    <t>Low</t>
  </si>
  <si>
    <t>High</t>
  </si>
  <si>
    <t>Emergency</t>
  </si>
  <si>
    <t>Consultation</t>
  </si>
  <si>
    <t>Project</t>
  </si>
  <si>
    <t>Customer Region</t>
  </si>
  <si>
    <t>RNAM</t>
  </si>
  <si>
    <t>RMED</t>
  </si>
  <si>
    <t>RECA</t>
  </si>
  <si>
    <t>RLAM</t>
  </si>
  <si>
    <t>RNEA</t>
  </si>
  <si>
    <t>RSSA</t>
  </si>
  <si>
    <t>RWCE</t>
  </si>
  <si>
    <t>RASO</t>
  </si>
  <si>
    <t>RMEA</t>
  </si>
  <si>
    <t>RINA</t>
  </si>
  <si>
    <t>Customer</t>
  </si>
  <si>
    <t>Astelit UA</t>
  </si>
  <si>
    <t>ANCEL  (ANTEL Celular) UY</t>
  </si>
  <si>
    <t>MTN Nigeria NG</t>
  </si>
  <si>
    <t>SingTel Mobile SG</t>
  </si>
  <si>
    <t>AT&amp;T Mobility National</t>
  </si>
  <si>
    <t>MS_Bharti Kolkata_IN</t>
  </si>
  <si>
    <t>PT. Indosat ID</t>
  </si>
  <si>
    <t>Jawwal PS</t>
  </si>
  <si>
    <t>Venezuela-Movilnet</t>
  </si>
  <si>
    <t>MS_Bharti New Delhi_IN</t>
  </si>
  <si>
    <t>MS_Bharti Punjab_IN</t>
  </si>
  <si>
    <t>AVEA TR</t>
  </si>
  <si>
    <t>China Mobile Hongkong</t>
  </si>
  <si>
    <t>Movil de Entel S.A.  BO</t>
  </si>
  <si>
    <t>Entel Chile</t>
  </si>
  <si>
    <t>CYTAGSM CY</t>
  </si>
  <si>
    <t>MS_VIRGIN_FR</t>
  </si>
  <si>
    <t>MTN Yemen</t>
  </si>
  <si>
    <t>Chung Hwa Telecomm TW</t>
  </si>
  <si>
    <t>Mascom Wireless Gaborone BW</t>
  </si>
  <si>
    <t>Partner IL</t>
  </si>
  <si>
    <t>Guangdong MCC CN</t>
  </si>
  <si>
    <t>MTN Uganda UG</t>
  </si>
  <si>
    <t>COSMOTE GR</t>
  </si>
  <si>
    <t>Bharti CS</t>
  </si>
  <si>
    <t>MCel Mozambique</t>
  </si>
  <si>
    <t>Vimpelcom RU</t>
  </si>
  <si>
    <t>Siminn</t>
  </si>
  <si>
    <t>ONO ES</t>
  </si>
  <si>
    <t>AT&amp;T Mobility SWD</t>
  </si>
  <si>
    <t>MS_Bharti Karnataka_IN</t>
  </si>
  <si>
    <t>MS_Bharti Mumbai_IN</t>
  </si>
  <si>
    <t>Digicel PNG</t>
  </si>
  <si>
    <t>Eesti Telekom</t>
  </si>
  <si>
    <t>T-Mobile CG</t>
  </si>
  <si>
    <t>Poste Mobile</t>
  </si>
  <si>
    <t>Djibouti telecom</t>
  </si>
  <si>
    <t>DIGITEL</t>
  </si>
  <si>
    <t>Warid Telecom (Pvt ) Ltd</t>
  </si>
  <si>
    <t>Aircel Cellular Limited, Chennai</t>
  </si>
  <si>
    <t>MS_HT-Mobile_VN</t>
  </si>
  <si>
    <t>MOBILIS</t>
  </si>
  <si>
    <t>COLOMBIA MOVIL</t>
  </si>
  <si>
    <t>Telstra Mobility (AU)</t>
  </si>
  <si>
    <t>DIGICEL JM</t>
  </si>
  <si>
    <t>VODAFONE AL</t>
  </si>
  <si>
    <t>T2RUS</t>
  </si>
  <si>
    <t>MSSI CU Customer CN</t>
  </si>
  <si>
    <t>DiGi</t>
  </si>
  <si>
    <t>Jazztel ES</t>
  </si>
  <si>
    <t>Phonero</t>
  </si>
  <si>
    <t>MS_Telin_MSA</t>
  </si>
  <si>
    <t>CTM WCDMA MO</t>
  </si>
  <si>
    <t>MS_H3G_IT</t>
  </si>
  <si>
    <t>MTS / MR South RU</t>
  </si>
  <si>
    <t>VN VMS - GSM MobiFone</t>
  </si>
  <si>
    <t>ORANGE ES</t>
  </si>
  <si>
    <t>Last Status</t>
  </si>
  <si>
    <t>Hot CSR</t>
  </si>
  <si>
    <t>GS LEROU</t>
  </si>
  <si>
    <t>GS LEER</t>
  </si>
  <si>
    <t>TR Number</t>
  </si>
  <si>
    <t>LS Hours [Hrs]</t>
  </si>
  <si>
    <t>GS Hours [Hrs]</t>
  </si>
  <si>
    <t>Total Hours [Hrs]</t>
  </si>
  <si>
    <t>Cause Code</t>
  </si>
  <si>
    <t>ESF Confirmed Software Fault</t>
  </si>
  <si>
    <t>EHF Faulty HW</t>
  </si>
  <si>
    <t>CDU Duplicate Customer CSR</t>
  </si>
  <si>
    <t>CNF No Fault - Working as designed</t>
  </si>
  <si>
    <t>CCF Customer Configuration Fault</t>
  </si>
  <si>
    <t>ONC Other - No Applicable Code</t>
  </si>
  <si>
    <t>COS Outside Scope Other Vendor Faults</t>
  </si>
  <si>
    <t>CSM Insufficient System Maintenance</t>
  </si>
  <si>
    <t>CIC Customer Insufficient Competence</t>
  </si>
  <si>
    <t>EPR Ineffective Automatic Node Recovery</t>
  </si>
  <si>
    <t>OID Insufficient / No Data Received</t>
  </si>
  <si>
    <t>CCP Customer Capacity Problem</t>
  </si>
  <si>
    <t>ECF Ericsson Configuration Fault</t>
  </si>
  <si>
    <t>ONR Not Reproduceable Problem</t>
  </si>
  <si>
    <t>CPH Customer Process Handling Error</t>
  </si>
  <si>
    <t>ESP Software Package Quality</t>
  </si>
  <si>
    <t>CSN Available Solution Not Implemented</t>
  </si>
  <si>
    <t>EDF Docs/Procedures - Inadequate/Outdate</t>
  </si>
  <si>
    <t>OPF Other - Power Failure</t>
  </si>
  <si>
    <t>EPH Ericsson Process Handling Error</t>
  </si>
  <si>
    <t>EHD Confirmed Hardware Design Fault</t>
  </si>
  <si>
    <t>Node</t>
  </si>
  <si>
    <t>Linux Multiservice Proxy 6.1</t>
  </si>
  <si>
    <t>Linux Multiservice Proxy 6.0</t>
  </si>
  <si>
    <t>SUN Multiservice Proxy 5.2</t>
  </si>
  <si>
    <t>Linux Multiservice Proxy 7.0</t>
  </si>
  <si>
    <t>Linux Multiservice Proxy 5.3</t>
  </si>
  <si>
    <t>Linux Multiservice Proxy 5.2</t>
  </si>
  <si>
    <t>SUN MIEP 4.0</t>
  </si>
  <si>
    <t>SUN MIEP 3.0</t>
  </si>
  <si>
    <t>Linux Multiservice Proxy 7.1</t>
  </si>
  <si>
    <t>CSR inflow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</si>
  <si>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</si>
  <si>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</si>
  <si>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</si>
  <si>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</si>
  <si>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</si>
  <si>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</si>
  <si>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</si>
  <si>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</si>
  <si>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</si>
  <si>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</si>
  <si>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</si>
  <si>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</si>
  <si>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Not Assigned</t>
  </si>
  <si>
    <t>Helper</t>
  </si>
  <si>
    <t>Customers</t>
  </si>
  <si>
    <t>Column1</t>
  </si>
  <si>
    <t>CSR inflow towards Tier 2</t>
  </si>
  <si>
    <t>CSR inflow handled by Tier 1</t>
  </si>
  <si>
    <t>No</t>
  </si>
  <si>
    <t>&lt;= MSP 6.0</t>
  </si>
  <si>
    <t>MSP 6.1</t>
  </si>
  <si>
    <t>MSP 7.0</t>
  </si>
  <si>
    <t>MSP 7.1</t>
  </si>
  <si>
    <t>CSRs</t>
  </si>
  <si>
    <t>Verizon Wireless HQ</t>
  </si>
  <si>
    <t>TIM/Test Plant BR</t>
  </si>
  <si>
    <t>Linux Broadcast Management Center 15B</t>
  </si>
  <si>
    <t>customer perception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</si>
  <si>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</si>
  <si>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</si>
  <si>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</si>
  <si>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</si>
  <si>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</si>
  <si>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</si>
  <si>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</si>
  <si>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</si>
  <si>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</si>
  <si>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</si>
  <si>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</si>
  <si>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T2 In</t>
  </si>
  <si>
    <t>BDC T2 In</t>
  </si>
  <si>
    <t>BMC T2 In</t>
  </si>
  <si>
    <t>T2 Open</t>
  </si>
  <si>
    <t>T2 Out</t>
  </si>
  <si>
    <t>Acc T2 In</t>
  </si>
  <si>
    <t>Flow</t>
  </si>
  <si>
    <t>Level</t>
  </si>
  <si>
    <t>Type</t>
  </si>
  <si>
    <t>Planned Acc T2 In</t>
  </si>
  <si>
    <t>Item</t>
  </si>
  <si>
    <t>eMBMS In</t>
  </si>
  <si>
    <t>T2 Low</t>
  </si>
  <si>
    <t>T2 Medium</t>
  </si>
  <si>
    <t>T2 High</t>
  </si>
  <si>
    <t>T2 Hot</t>
  </si>
  <si>
    <t>T2 Emergency</t>
  </si>
  <si>
    <t>T2 Consultant</t>
  </si>
  <si>
    <t>T2 Internal</t>
  </si>
  <si>
    <t>T2 Problem</t>
  </si>
  <si>
    <t>T2 Project</t>
  </si>
  <si>
    <t>Date: Last GS-&gt;LS</t>
  </si>
  <si>
    <t>Row Labels</t>
  </si>
  <si>
    <t>Grand Total</t>
  </si>
  <si>
    <t>Column Labels</t>
  </si>
  <si>
    <t>2016</t>
  </si>
  <si>
    <t>Count of CSR Number</t>
  </si>
  <si>
    <t>Date: Created</t>
  </si>
  <si>
    <t>2015 Acc T2 In</t>
  </si>
  <si>
    <t>2015 T2 In</t>
  </si>
  <si>
    <t>Years</t>
  </si>
  <si>
    <t>(All)</t>
  </si>
  <si>
    <t>inflow2</t>
  </si>
  <si>
    <t>inflow</t>
  </si>
  <si>
    <t>Specify file to open:</t>
  </si>
  <si>
    <t>Raw data clean:</t>
  </si>
  <si>
    <t>Sheet to be cleaned:</t>
  </si>
  <si>
    <t>Start data copy:</t>
  </si>
  <si>
    <t>In/Out flow analysis:</t>
  </si>
  <si>
    <t>Src Sheet:</t>
  </si>
  <si>
    <t>Tgt Sheet:</t>
  </si>
  <si>
    <t>Sheet:</t>
  </si>
  <si>
    <t>Year:</t>
  </si>
  <si>
    <t>0002571935</t>
  </si>
  <si>
    <t>0002572753</t>
  </si>
  <si>
    <t>0002583426</t>
  </si>
  <si>
    <t>0002583427</t>
  </si>
  <si>
    <t>0002583674</t>
  </si>
  <si>
    <t>0002588841</t>
  </si>
  <si>
    <t>0002600687</t>
  </si>
  <si>
    <t>0002603251</t>
  </si>
  <si>
    <t>0002607332</t>
  </si>
  <si>
    <t>0002610800</t>
  </si>
  <si>
    <t>0002610801</t>
  </si>
  <si>
    <t>0002611940</t>
  </si>
  <si>
    <t>0002614226</t>
  </si>
  <si>
    <t>0002617675</t>
  </si>
  <si>
    <t>0002618621</t>
  </si>
  <si>
    <t>0002619755</t>
  </si>
  <si>
    <t>0002621855</t>
  </si>
  <si>
    <t>0002630275</t>
  </si>
  <si>
    <t>0002632655</t>
  </si>
  <si>
    <t>0002635715</t>
  </si>
  <si>
    <t>0002638950</t>
  </si>
  <si>
    <t>0002650168</t>
  </si>
  <si>
    <t>0002651999</t>
  </si>
  <si>
    <t>0002652001</t>
  </si>
  <si>
    <t>0002658374</t>
  </si>
  <si>
    <t>0002672851</t>
  </si>
  <si>
    <t>0002683275</t>
  </si>
  <si>
    <t>0002689571</t>
  </si>
  <si>
    <t>0002693427</t>
  </si>
  <si>
    <t>0002693444</t>
  </si>
  <si>
    <t>0002700044</t>
  </si>
  <si>
    <t>0002700045</t>
  </si>
  <si>
    <t>0002705654</t>
  </si>
  <si>
    <t>0002719257</t>
  </si>
  <si>
    <t>0002724676</t>
  </si>
  <si>
    <t>0002724922</t>
  </si>
  <si>
    <t>0002729868</t>
  </si>
  <si>
    <t>0002730478</t>
  </si>
  <si>
    <t>0002733671</t>
  </si>
  <si>
    <t>0002738796</t>
  </si>
  <si>
    <t>0002740883</t>
  </si>
  <si>
    <t>0002742355</t>
  </si>
  <si>
    <t>0002745303</t>
  </si>
  <si>
    <t>0002747200</t>
  </si>
  <si>
    <t>0002747209</t>
  </si>
  <si>
    <t>0002748670</t>
  </si>
  <si>
    <t>0002749240</t>
  </si>
  <si>
    <t>0002751620</t>
  </si>
  <si>
    <t>0002754642</t>
  </si>
  <si>
    <t>0002756148</t>
  </si>
  <si>
    <t>0002756616</t>
  </si>
  <si>
    <t>0002760029</t>
  </si>
  <si>
    <t>0002763638</t>
  </si>
  <si>
    <t>0002769533</t>
  </si>
  <si>
    <t>0002770360</t>
  </si>
  <si>
    <t>0002771249</t>
  </si>
  <si>
    <t>0002775774</t>
  </si>
  <si>
    <t>0002777536</t>
  </si>
  <si>
    <t>0002777577</t>
  </si>
  <si>
    <t>0002779357</t>
  </si>
  <si>
    <t>0002779631</t>
  </si>
  <si>
    <t>0002779695</t>
  </si>
  <si>
    <t>0002784320</t>
  </si>
  <si>
    <t>0002784358</t>
  </si>
  <si>
    <t>0002785081</t>
  </si>
  <si>
    <t>0002787134</t>
  </si>
  <si>
    <t>0002788184</t>
  </si>
  <si>
    <t>0002790031</t>
  </si>
  <si>
    <t>0002790917</t>
  </si>
  <si>
    <t>0002795025</t>
  </si>
  <si>
    <t>0002795118</t>
  </si>
  <si>
    <t>0002796729</t>
  </si>
  <si>
    <t>0002800100</t>
  </si>
  <si>
    <t>0002802107</t>
  </si>
  <si>
    <t>0002806372</t>
  </si>
  <si>
    <t>0002808102</t>
  </si>
  <si>
    <t>0002808257</t>
  </si>
  <si>
    <t>0002812965</t>
  </si>
  <si>
    <t>0002819887</t>
  </si>
  <si>
    <t>0002819993</t>
  </si>
  <si>
    <t>0002824191</t>
  </si>
  <si>
    <t>0002824991</t>
  </si>
  <si>
    <t>0002824993</t>
  </si>
  <si>
    <t>0002825093</t>
  </si>
  <si>
    <t>0002825163</t>
  </si>
  <si>
    <t>0002828029</t>
  </si>
  <si>
    <t>0002830017</t>
  </si>
  <si>
    <t>0002831812</t>
  </si>
  <si>
    <t>0002834347</t>
  </si>
  <si>
    <t>0002837032</t>
  </si>
  <si>
    <t>0002837423</t>
  </si>
  <si>
    <t>0002837444</t>
  </si>
  <si>
    <t>0002839937</t>
  </si>
  <si>
    <t>0002843040</t>
  </si>
  <si>
    <t>0002843136</t>
  </si>
  <si>
    <t>0002843188</t>
  </si>
  <si>
    <t>0002845807</t>
  </si>
  <si>
    <t>0002849615</t>
  </si>
  <si>
    <t>0002851218</t>
  </si>
  <si>
    <t>0002851219</t>
  </si>
  <si>
    <t>0002851916</t>
  </si>
  <si>
    <t>0002853561</t>
  </si>
  <si>
    <t>0002854389</t>
  </si>
  <si>
    <t>0002854390</t>
  </si>
  <si>
    <t>0002854482</t>
  </si>
  <si>
    <t>0002856013</t>
  </si>
  <si>
    <t>0002856871</t>
  </si>
  <si>
    <t>0002859336</t>
  </si>
  <si>
    <t>0002860663</t>
  </si>
  <si>
    <t>0002861078</t>
  </si>
  <si>
    <t>0002862321</t>
  </si>
  <si>
    <t>0002862883</t>
  </si>
  <si>
    <t>0002862996</t>
  </si>
  <si>
    <t>0002866712</t>
  </si>
  <si>
    <t>0002867267</t>
  </si>
  <si>
    <t>0002867326</t>
  </si>
  <si>
    <t>0002867610</t>
  </si>
  <si>
    <t>0002867626</t>
  </si>
  <si>
    <t>0002867627</t>
  </si>
  <si>
    <t>0002869916</t>
  </si>
  <si>
    <t>0002870126</t>
  </si>
  <si>
    <t>0002871019</t>
  </si>
  <si>
    <t>0002871030</t>
  </si>
  <si>
    <t>0002871793</t>
  </si>
  <si>
    <t>0002874566</t>
  </si>
  <si>
    <t>0002879116</t>
  </si>
  <si>
    <t>0002879201</t>
  </si>
  <si>
    <t>0002879555</t>
  </si>
  <si>
    <t>0002880414</t>
  </si>
  <si>
    <t>0002882046</t>
  </si>
  <si>
    <t>0002882833</t>
  </si>
  <si>
    <t>0002883328</t>
  </si>
  <si>
    <t>0002883351</t>
  </si>
  <si>
    <t>0002883509</t>
  </si>
  <si>
    <t>0002883510</t>
  </si>
  <si>
    <t>0002883511</t>
  </si>
  <si>
    <t>0002883512</t>
  </si>
  <si>
    <t>0002883524</t>
  </si>
  <si>
    <t>0002883525</t>
  </si>
  <si>
    <t>0002883526</t>
  </si>
  <si>
    <t>0002883527</t>
  </si>
  <si>
    <t>0002883529</t>
  </si>
  <si>
    <t>0002883530</t>
  </si>
  <si>
    <t>0002883532</t>
  </si>
  <si>
    <t>0002883534</t>
  </si>
  <si>
    <t>0002883535</t>
  </si>
  <si>
    <t>0002883550</t>
  </si>
  <si>
    <t>0002884518</t>
  </si>
  <si>
    <t>0002890853</t>
  </si>
  <si>
    <t>0002895095</t>
  </si>
  <si>
    <t>0002895884</t>
  </si>
  <si>
    <t>0002896640</t>
  </si>
  <si>
    <t>0002899606</t>
  </si>
  <si>
    <t>0002902217</t>
  </si>
  <si>
    <t>0002903023</t>
  </si>
  <si>
    <t>0002903064</t>
  </si>
  <si>
    <t>0002903157</t>
  </si>
  <si>
    <t>0002905004</t>
  </si>
  <si>
    <t>0002906731</t>
  </si>
  <si>
    <t>0002909849</t>
  </si>
  <si>
    <t>0002909889</t>
  </si>
  <si>
    <t>0002909944</t>
  </si>
  <si>
    <t>0002910325</t>
  </si>
  <si>
    <t>0002914454</t>
  </si>
  <si>
    <t>0002917894</t>
  </si>
  <si>
    <t>0002917924</t>
  </si>
  <si>
    <t>0002919416</t>
  </si>
  <si>
    <t>0002922669</t>
  </si>
  <si>
    <t>0002922671</t>
  </si>
  <si>
    <t>0002923720</t>
  </si>
  <si>
    <t>0002923821</t>
  </si>
  <si>
    <t>0002925372</t>
  </si>
  <si>
    <t>0002928352</t>
  </si>
  <si>
    <t>0002928404</t>
  </si>
  <si>
    <t>0002932594</t>
  </si>
  <si>
    <t>0002932596</t>
  </si>
  <si>
    <t>0002932675</t>
  </si>
  <si>
    <t>0002934012</t>
  </si>
  <si>
    <t>0002934094</t>
  </si>
  <si>
    <t>0002934097</t>
  </si>
  <si>
    <t>0002934098</t>
  </si>
  <si>
    <t>0002934750</t>
  </si>
  <si>
    <t>0002935302</t>
  </si>
  <si>
    <t>0002935303</t>
  </si>
  <si>
    <t>0002936478</t>
  </si>
  <si>
    <t>0002936480</t>
  </si>
  <si>
    <t>0002937189</t>
  </si>
  <si>
    <t>0002937417</t>
  </si>
  <si>
    <t>0002937418</t>
  </si>
  <si>
    <t>0002938080</t>
  </si>
  <si>
    <t>0002938104</t>
  </si>
  <si>
    <t>0002938278</t>
  </si>
  <si>
    <t>0002938279</t>
  </si>
  <si>
    <t>0002942652</t>
  </si>
  <si>
    <t>0002942674</t>
  </si>
  <si>
    <t>0002943468</t>
  </si>
  <si>
    <t>0002944600</t>
  </si>
  <si>
    <t>0002948758</t>
  </si>
  <si>
    <t>0002948760</t>
  </si>
  <si>
    <t>0002948761</t>
  </si>
  <si>
    <t>0002948780</t>
  </si>
  <si>
    <t>0002948781</t>
  </si>
  <si>
    <t>0002948783</t>
  </si>
  <si>
    <t>0002948817</t>
  </si>
  <si>
    <t>0002951362</t>
  </si>
  <si>
    <t>0002951446</t>
  </si>
  <si>
    <t>0002954998</t>
  </si>
  <si>
    <t>0002956071</t>
  </si>
  <si>
    <t>0002956072</t>
  </si>
  <si>
    <t>0002956073</t>
  </si>
  <si>
    <t>0002956784</t>
  </si>
  <si>
    <t>0002958483</t>
  </si>
  <si>
    <t>0002958670</t>
  </si>
  <si>
    <t>0002959702</t>
  </si>
  <si>
    <t>0002959715</t>
  </si>
  <si>
    <t>0002960489</t>
  </si>
  <si>
    <t>0002960614</t>
  </si>
  <si>
    <t>0002961413</t>
  </si>
  <si>
    <t>0002961434</t>
  </si>
  <si>
    <t>0002961435</t>
  </si>
  <si>
    <t>0002961436</t>
  </si>
  <si>
    <t>0002961438</t>
  </si>
  <si>
    <t>0002961440</t>
  </si>
  <si>
    <t>0002962413</t>
  </si>
  <si>
    <t>0002964901</t>
  </si>
  <si>
    <t>0002965796</t>
  </si>
  <si>
    <t>0002965797</t>
  </si>
  <si>
    <t>0002965798</t>
  </si>
  <si>
    <t>0002966226</t>
  </si>
  <si>
    <t>0002967022</t>
  </si>
  <si>
    <t>0002967499</t>
  </si>
  <si>
    <t>0002969332</t>
  </si>
  <si>
    <t>0002971195</t>
  </si>
  <si>
    <t>0002971196</t>
  </si>
  <si>
    <t>0002971305</t>
  </si>
  <si>
    <t>0002971604</t>
  </si>
  <si>
    <t>0002972373</t>
  </si>
  <si>
    <t>0002976914</t>
  </si>
  <si>
    <t>0002977444</t>
  </si>
  <si>
    <t>0002977446</t>
  </si>
  <si>
    <t>0002977448</t>
  </si>
  <si>
    <t>0002977450</t>
  </si>
  <si>
    <t>0002977451</t>
  </si>
  <si>
    <t>0002977452</t>
  </si>
  <si>
    <t>0002977453</t>
  </si>
  <si>
    <t>0002977464</t>
  </si>
  <si>
    <t>0002977735</t>
  </si>
  <si>
    <t>0002979350</t>
  </si>
  <si>
    <t>0002979499</t>
  </si>
  <si>
    <t>0002981340</t>
  </si>
  <si>
    <t>0002982116</t>
  </si>
  <si>
    <t>0002983600</t>
  </si>
  <si>
    <t>0002983601</t>
  </si>
  <si>
    <t>0002984848</t>
  </si>
  <si>
    <t>0002985635</t>
  </si>
  <si>
    <t>0002987621</t>
  </si>
  <si>
    <t>0002987654</t>
  </si>
  <si>
    <t>0002987662</t>
  </si>
  <si>
    <t>0002987786</t>
  </si>
  <si>
    <t>0002987787</t>
  </si>
  <si>
    <t>0002988945</t>
  </si>
  <si>
    <t>0002989708</t>
  </si>
  <si>
    <t>0002991219</t>
  </si>
  <si>
    <t>0002992055</t>
  </si>
  <si>
    <t>0002992411</t>
  </si>
  <si>
    <t>0002992858</t>
  </si>
  <si>
    <t>0002996144</t>
  </si>
  <si>
    <t>0002996290</t>
  </si>
  <si>
    <t>0002996660</t>
  </si>
  <si>
    <t>0002998108</t>
  </si>
  <si>
    <t>0002999143</t>
  </si>
  <si>
    <t>0002999576</t>
  </si>
  <si>
    <t>0003002470</t>
  </si>
  <si>
    <t>0003002513</t>
  </si>
  <si>
    <t>0003002690</t>
  </si>
  <si>
    <t>0003004093</t>
  </si>
  <si>
    <t>0003004841</t>
  </si>
  <si>
    <t>0003005007</t>
  </si>
  <si>
    <t>0003005677</t>
  </si>
  <si>
    <t>0003005763</t>
  </si>
  <si>
    <t>0003005885</t>
  </si>
  <si>
    <t>0003005891</t>
  </si>
  <si>
    <t>0003006744</t>
  </si>
  <si>
    <t>0003007869</t>
  </si>
  <si>
    <t>0003007981</t>
  </si>
  <si>
    <t>0003008368</t>
  </si>
  <si>
    <t>Internal</t>
  </si>
  <si>
    <t>Verizon Wireless Midwest</t>
  </si>
  <si>
    <t>AT&amp;T Mobility WE</t>
  </si>
  <si>
    <t>Telefonica ES</t>
  </si>
  <si>
    <t>Telecom Italia</t>
  </si>
  <si>
    <t>Germany INTERNAL</t>
  </si>
  <si>
    <t>T-Mobile Lab</t>
  </si>
  <si>
    <t>LINUX BROADCAST MANAGEMENT CENTER</t>
  </si>
  <si>
    <t>LINUX BROADCAST DELIVERY CENTER</t>
  </si>
  <si>
    <t>Linux Broadcast Management Center 13B</t>
  </si>
  <si>
    <t>Linux Broadcast Delivery Center 13B</t>
  </si>
  <si>
    <t>Linux Broadcast Management Center 14A</t>
  </si>
  <si>
    <t>Linux Broadcast Delivery Center 14A</t>
  </si>
  <si>
    <t>Linux Broadcast Delivery Center 15A</t>
  </si>
  <si>
    <t>Linux Broadcast Management Center 15A</t>
  </si>
  <si>
    <t>#/#</t>
  </si>
  <si>
    <t>Completed</t>
  </si>
  <si>
    <t>Cancelled</t>
  </si>
  <si>
    <t>Not assigned</t>
  </si>
  <si>
    <t>TV_G/MOTV</t>
  </si>
  <si>
    <t>GGFO</t>
  </si>
  <si>
    <t>EJJEWWN</t>
  </si>
  <si>
    <t>ELINKEE</t>
  </si>
  <si>
    <t>EFENSHI</t>
  </si>
  <si>
    <t>EXUYUFE</t>
  </si>
  <si>
    <t>EZINZNG</t>
  </si>
  <si>
    <t>EVYZACN</t>
  </si>
  <si>
    <t>EPHYBRU</t>
  </si>
  <si>
    <t>ETONXIA</t>
  </si>
  <si>
    <t>EKONGLI</t>
  </si>
  <si>
    <t>EJACDIO</t>
  </si>
  <si>
    <t>#</t>
  </si>
  <si>
    <t>HT14708</t>
  </si>
  <si>
    <t>HT41982</t>
  </si>
  <si>
    <t>-</t>
  </si>
  <si>
    <t>HU82959</t>
  </si>
  <si>
    <t>HU79845</t>
  </si>
  <si>
    <t>HU81438,HU81438</t>
  </si>
  <si>
    <t>HU84401</t>
  </si>
  <si>
    <t>HU84404</t>
  </si>
  <si>
    <t>HU84407</t>
  </si>
  <si>
    <t>Finished</t>
  </si>
  <si>
    <t>Internal answer provided</t>
  </si>
  <si>
    <t>Pre-analysis</t>
  </si>
  <si>
    <t>#CSR</t>
  </si>
  <si>
    <t>T2</t>
  </si>
  <si>
    <t>PROB</t>
  </si>
  <si>
    <t>FAULT</t>
  </si>
  <si>
    <t>#EMER</t>
  </si>
  <si>
    <t>STATUS</t>
  </si>
  <si>
    <t>FORECAST</t>
  </si>
  <si>
    <t>RELEASE</t>
  </si>
  <si>
    <t>Statistics</t>
  </si>
  <si>
    <t>Product:</t>
  </si>
  <si>
    <t>BDC15A</t>
  </si>
  <si>
    <t>CUSTOMER</t>
  </si>
  <si>
    <t>VzW</t>
  </si>
  <si>
    <t>Telstra</t>
  </si>
  <si>
    <t>TIM</t>
  </si>
  <si>
    <t>BMC15A</t>
  </si>
  <si>
    <t>BMC15B</t>
  </si>
  <si>
    <t>ALL</t>
  </si>
  <si>
    <t>BMC14A</t>
  </si>
  <si>
    <t>BMC16B</t>
  </si>
  <si>
    <t>BDC14A</t>
  </si>
  <si>
    <t>BDC16B</t>
  </si>
  <si>
    <t>AT&amp;T</t>
  </si>
  <si>
    <t>Germany</t>
  </si>
  <si>
    <t>Italia</t>
  </si>
  <si>
    <t>Telefonica</t>
  </si>
  <si>
    <t>T-Mobile</t>
  </si>
  <si>
    <t>0003009887</t>
  </si>
  <si>
    <t>0003010188</t>
  </si>
  <si>
    <t>0003010190</t>
  </si>
  <si>
    <t>0003010933</t>
  </si>
  <si>
    <t>0003011095</t>
  </si>
  <si>
    <t>0003012509</t>
  </si>
  <si>
    <t>0003014255</t>
  </si>
  <si>
    <t>0003016427</t>
  </si>
  <si>
    <t>0003016428</t>
  </si>
  <si>
    <t>0003016429</t>
  </si>
  <si>
    <t>0003016431</t>
  </si>
  <si>
    <t>0003018922</t>
  </si>
  <si>
    <t>0003018945</t>
  </si>
  <si>
    <t>0003019052</t>
  </si>
  <si>
    <t>0003020456</t>
  </si>
  <si>
    <t>0003020497</t>
  </si>
  <si>
    <t>0003021410</t>
  </si>
  <si>
    <t>0003021908</t>
  </si>
  <si>
    <t>0003022054</t>
  </si>
  <si>
    <t>HU94895</t>
  </si>
  <si>
    <t>0003023361</t>
  </si>
  <si>
    <t>0003024075</t>
  </si>
  <si>
    <t>0003024329</t>
  </si>
  <si>
    <t>0003024905</t>
  </si>
  <si>
    <t>HU99607</t>
  </si>
  <si>
    <t>0003026481</t>
  </si>
  <si>
    <t>0003026494</t>
  </si>
  <si>
    <t>0003027898</t>
  </si>
  <si>
    <t>0003028027</t>
  </si>
  <si>
    <t>0003028576</t>
  </si>
  <si>
    <t>0003029227</t>
  </si>
  <si>
    <t>0003031023</t>
  </si>
  <si>
    <t>0003031207</t>
  </si>
  <si>
    <t>0003031209</t>
  </si>
  <si>
    <t>-,HU67725</t>
  </si>
  <si>
    <t>0003034439</t>
  </si>
  <si>
    <t>0003034457</t>
  </si>
  <si>
    <t>0003035204</t>
  </si>
  <si>
    <t>0003037568</t>
  </si>
  <si>
    <t>0003039174</t>
  </si>
  <si>
    <t>0003040035</t>
  </si>
  <si>
    <t>0003040140</t>
  </si>
  <si>
    <t>0003040612</t>
  </si>
  <si>
    <t>0003040651</t>
  </si>
  <si>
    <t>0003040673</t>
  </si>
  <si>
    <t>0003041840</t>
  </si>
  <si>
    <t>0003042545</t>
  </si>
  <si>
    <t>0003044687</t>
  </si>
  <si>
    <t>0003047029</t>
  </si>
  <si>
    <t>0003047906</t>
  </si>
  <si>
    <t>0003048066</t>
  </si>
  <si>
    <t>0003049006</t>
  </si>
  <si>
    <t>0003049088</t>
  </si>
  <si>
    <t>0003049990</t>
  </si>
  <si>
    <t>0003050764</t>
  </si>
  <si>
    <t>0003050768</t>
  </si>
  <si>
    <t>0003050898</t>
  </si>
  <si>
    <t>0003051621</t>
  </si>
  <si>
    <t>0003052636</t>
  </si>
  <si>
    <t>0003054378</t>
  </si>
  <si>
    <t>0003054407</t>
  </si>
  <si>
    <t>0003054457</t>
  </si>
  <si>
    <t>0003054990</t>
  </si>
  <si>
    <t>0003055252</t>
  </si>
  <si>
    <t>0003055775</t>
  </si>
  <si>
    <t>0003056531</t>
  </si>
  <si>
    <t>0003058951</t>
  </si>
  <si>
    <t>0003058964</t>
  </si>
  <si>
    <t>0003059104</t>
  </si>
  <si>
    <t>0003059924</t>
  </si>
  <si>
    <t>0003059925</t>
  </si>
  <si>
    <t>HV23192</t>
  </si>
  <si>
    <t>Sum</t>
  </si>
  <si>
    <t>0003062368</t>
  </si>
  <si>
    <t>0003062839</t>
  </si>
  <si>
    <t>0003062861</t>
  </si>
  <si>
    <t>0003062877</t>
  </si>
  <si>
    <t>0003063690</t>
  </si>
  <si>
    <t>0003064389</t>
  </si>
  <si>
    <t>0003064390</t>
  </si>
  <si>
    <t>0003064900</t>
  </si>
  <si>
    <t>0003067772</t>
  </si>
  <si>
    <t>0003068120</t>
  </si>
  <si>
    <t>0003068194</t>
  </si>
  <si>
    <t>0003068233</t>
  </si>
  <si>
    <t>0003068285</t>
  </si>
  <si>
    <t>0003068289</t>
  </si>
  <si>
    <t>0003068314</t>
  </si>
  <si>
    <t>0003069125</t>
  </si>
  <si>
    <t>0003069127</t>
  </si>
  <si>
    <t>0003070208</t>
  </si>
  <si>
    <t>0003074230</t>
  </si>
  <si>
    <t>0003075127</t>
  </si>
  <si>
    <t>0003075887</t>
  </si>
  <si>
    <t>0003075888</t>
  </si>
  <si>
    <t>0003075889</t>
  </si>
  <si>
    <t>0003075890</t>
  </si>
  <si>
    <t>0003076080</t>
  </si>
  <si>
    <t>0003076376</t>
  </si>
  <si>
    <t>0003076424</t>
  </si>
  <si>
    <t>0003078130</t>
  </si>
  <si>
    <t>0003080153</t>
  </si>
  <si>
    <t>0003080335</t>
  </si>
  <si>
    <t>0003080354</t>
  </si>
  <si>
    <t>0003082059</t>
  </si>
  <si>
    <t>0003082224</t>
  </si>
  <si>
    <t>0003082227</t>
  </si>
  <si>
    <t>0003082230</t>
  </si>
  <si>
    <t>0003083686</t>
  </si>
  <si>
    <t>0003084939</t>
  </si>
  <si>
    <t>Linux Broadcast Management Center 16B</t>
  </si>
  <si>
    <t>Analysis</t>
  </si>
  <si>
    <t>0003085911</t>
  </si>
  <si>
    <t>0003086315</t>
  </si>
  <si>
    <t>0003086319</t>
  </si>
  <si>
    <t>0003086421</t>
  </si>
  <si>
    <t>0003087130</t>
  </si>
  <si>
    <t>0003087132</t>
  </si>
  <si>
    <t>0003087954</t>
  </si>
  <si>
    <t>0003088113</t>
  </si>
  <si>
    <t>TURKCELL TR</t>
  </si>
  <si>
    <t>0003090493</t>
  </si>
  <si>
    <t>0003091184</t>
  </si>
  <si>
    <t>0003091897</t>
  </si>
  <si>
    <t>0003091900</t>
  </si>
  <si>
    <t>0003091903</t>
  </si>
  <si>
    <t>0003091906</t>
  </si>
  <si>
    <t>0003091956</t>
  </si>
  <si>
    <t>0003095600</t>
  </si>
  <si>
    <t>0003095747</t>
  </si>
  <si>
    <t>0003095750</t>
  </si>
  <si>
    <t>0003095885</t>
  </si>
  <si>
    <t>0003097167</t>
  </si>
  <si>
    <t>Linux Broadcast Delivery Center 16B</t>
  </si>
  <si>
    <t>EVYZZCT</t>
  </si>
  <si>
    <t>HV37456HV36330HV3596</t>
  </si>
  <si>
    <t>HV38151</t>
  </si>
  <si>
    <t>0003099082</t>
  </si>
  <si>
    <t>0003099649</t>
  </si>
  <si>
    <t>0003100641</t>
  </si>
  <si>
    <t>0003101060</t>
  </si>
  <si>
    <t>0003102284</t>
  </si>
  <si>
    <t>0003104916</t>
  </si>
  <si>
    <t>0003104919</t>
  </si>
  <si>
    <t>HV42322</t>
  </si>
  <si>
    <t>Formal answer provided</t>
  </si>
  <si>
    <t>0003107768</t>
  </si>
  <si>
    <t>0003107852</t>
  </si>
  <si>
    <t>0003107863</t>
  </si>
  <si>
    <t>0003107905</t>
  </si>
  <si>
    <t>Incorrect</t>
  </si>
  <si>
    <t>EJAYNDA</t>
  </si>
  <si>
    <t>C:\Users\rdcchls\Desktop\T2\MOTV bi-weekly report - 2016W50.xlsx</t>
  </si>
  <si>
    <t>0003110896</t>
  </si>
  <si>
    <t>0003111610</t>
  </si>
  <si>
    <t>0003111635</t>
  </si>
  <si>
    <t>0003112397</t>
  </si>
  <si>
    <t>0003112405</t>
  </si>
  <si>
    <t>0003112594</t>
  </si>
  <si>
    <t>Foo 1</t>
  </si>
  <si>
    <t>Foo 2</t>
  </si>
  <si>
    <t>Foo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</si>
</sst>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m\/d\/yyyy"/>
    <numFmt numFmtId="166" formatCode="00000"/>
  </numFmts>
  <fonts count="46" x14ac:knownFonts="1">
    <font>
      <sz val="11"/>
      <color theme="1"/>
      <name val="Calibri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i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2"/>
      <color indexed="14"/>
      <name val="Arial"/>
      <family val="2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48"/>
      <name val="Calibri"/>
      <family val="2"/>
    </font>
    <font>
      <b/>
      <sz val="11"/>
      <color indexed="63"/>
      <name val="Calibri"/>
      <family val="2"/>
    </font>
    <font>
      <b/>
      <sz val="11"/>
      <color indexed="9"/>
      <name val="Calibri"/>
      <family val="2"/>
    </font>
    <font>
      <sz val="11"/>
      <color indexed="5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1"/>
      <color indexed="53"/>
      <name val="Calibri"/>
      <family val="2"/>
    </font>
    <font>
      <sz val="11"/>
      <color indexed="17"/>
      <name val="Calibri"/>
      <family val="2"/>
    </font>
    <font>
      <i/>
      <sz val="10"/>
      <color indexed="1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b/>
      <sz val="18"/>
      <color indexed="62"/>
      <name val="Cambria"/>
      <family val="1"/>
    </font>
    <font>
      <sz val="11"/>
      <color indexed="10"/>
      <name val="Calibri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u/>
      <sz val="8"/>
      <name val="Arial"/>
      <family val="2"/>
    </font>
    <font>
      <b/>
      <u/>
      <sz val="8"/>
      <color indexed="8"/>
      <name val="Arial"/>
      <family val="2"/>
    </font>
    <font>
      <b/>
      <sz val="12"/>
      <color indexed="48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rgb="FF00B050"/>
      <name val="Cambria"/>
      <family val="1"/>
      <scheme val="major"/>
    </font>
    <font>
      <b/>
      <sz val="11"/>
      <color theme="1"/>
      <name val="Arial"/>
      <family val="2"/>
    </font>
    <font>
      <sz val="9"/>
      <color rgb="FF333333"/>
      <name val="Arial"/>
    </font>
  </fonts>
  <fills count="83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solid">
        <fgColor indexed="35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7"/>
      </patternFill>
    </fill>
    <fill>
      <patternFill patternType="solid">
        <fgColor indexed="24"/>
      </patternFill>
    </fill>
    <fill>
      <patternFill patternType="solid">
        <fgColor indexed="54"/>
      </patternFill>
    </fill>
    <fill>
      <patternFill patternType="solid">
        <fgColor indexed="58"/>
      </patternFill>
    </fill>
    <fill>
      <patternFill patternType="solid">
        <fgColor indexed="51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61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41"/>
        <bgColor indexed="64"/>
      </patternFill>
    </fill>
    <fill>
      <patternFill patternType="solid">
        <fgColor indexed="26"/>
      </patternFill>
    </fill>
    <fill>
      <patternFill patternType="solid">
        <fgColor indexed="61"/>
        <bgColor indexed="61"/>
      </patternFill>
    </fill>
    <fill>
      <patternFill patternType="solid">
        <fgColor indexed="20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BFC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030A0"/>
        <bgColor indexed="64"/>
      </patternFill>
    </fill>
  </fills>
  <borders count="26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46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Protection="0">
      <alignment horizontal="right" vertical="center"/>
    </xf>
    <xf numFmtId="164" fontId="1" fillId="0" borderId="3" applyNumberFormat="0" applyProtection="0">
      <alignment horizontal="right" vertical="center"/>
    </xf>
    <xf numFmtId="0" fontId="3" fillId="0" borderId="4" applyNumberFormat="0" applyFill="0" applyBorder="0" applyAlignment="0" applyProtection="0"/>
    <xf numFmtId="0" fontId="4" fillId="3" borderId="3" applyNumberFormat="0" applyAlignment="0" applyProtection="0">
      <alignment horizontal="left" vertical="center" indent="1"/>
    </xf>
    <xf numFmtId="0" fontId="4" fillId="4" borderId="3" applyNumberFormat="0" applyAlignment="0" applyProtection="0">
      <alignment horizontal="left" vertical="center" indent="1"/>
    </xf>
    <xf numFmtId="164" fontId="2" fillId="5" borderId="2" applyNumberFormat="0" applyBorder="0" applyProtection="0">
      <alignment horizontal="right" vertical="center"/>
    </xf>
    <xf numFmtId="0" fontId="4" fillId="3" borderId="3" applyNumberFormat="0" applyAlignment="0" applyProtection="0">
      <alignment horizontal="left" vertical="center" indent="1"/>
    </xf>
    <xf numFmtId="164" fontId="1" fillId="4" borderId="3" applyNumberFormat="0" applyProtection="0">
      <alignment horizontal="right" vertical="center"/>
    </xf>
    <xf numFmtId="164" fontId="1" fillId="5" borderId="3" applyNumberFormat="0" applyBorder="0" applyProtection="0">
      <alignment horizontal="right" vertical="center"/>
    </xf>
    <xf numFmtId="164" fontId="5" fillId="6" borderId="5" applyNumberFormat="0" applyBorder="0" applyAlignment="0" applyProtection="0">
      <alignment horizontal="right" vertical="center" indent="1"/>
    </xf>
    <xf numFmtId="164" fontId="6" fillId="7" borderId="5" applyNumberFormat="0" applyBorder="0" applyAlignment="0" applyProtection="0">
      <alignment horizontal="right" vertical="center" indent="1"/>
    </xf>
    <xf numFmtId="164" fontId="6" fillId="8" borderId="5" applyNumberFormat="0" applyBorder="0" applyAlignment="0" applyProtection="0">
      <alignment horizontal="right" vertical="center" indent="1"/>
    </xf>
    <xf numFmtId="164" fontId="7" fillId="9" borderId="5" applyNumberFormat="0" applyBorder="0" applyAlignment="0" applyProtection="0">
      <alignment horizontal="right" vertical="center" indent="1"/>
    </xf>
    <xf numFmtId="164" fontId="7" fillId="10" borderId="5" applyNumberFormat="0" applyBorder="0" applyAlignment="0" applyProtection="0">
      <alignment horizontal="right" vertical="center" indent="1"/>
    </xf>
    <xf numFmtId="164" fontId="7" fillId="11" borderId="5" applyNumberFormat="0" applyBorder="0" applyAlignment="0" applyProtection="0">
      <alignment horizontal="right" vertical="center" indent="1"/>
    </xf>
    <xf numFmtId="164" fontId="8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8" fillId="14" borderId="5" applyNumberFormat="0" applyBorder="0" applyAlignment="0" applyProtection="0">
      <alignment horizontal="right" vertical="center" indent="1"/>
    </xf>
    <xf numFmtId="0" fontId="9" fillId="0" borderId="1" applyNumberFormat="0" applyFont="0" applyFill="0" applyAlignment="0" applyProtection="0"/>
    <xf numFmtId="164" fontId="2" fillId="15" borderId="1" applyNumberFormat="0" applyAlignment="0" applyProtection="0">
      <alignment horizontal="left" vertical="center" indent="1"/>
    </xf>
    <xf numFmtId="0" fontId="1" fillId="2" borderId="3" applyNumberFormat="0" applyAlignment="0" applyProtection="0">
      <alignment horizontal="left" vertical="center" indent="1"/>
    </xf>
    <xf numFmtId="0" fontId="4" fillId="16" borderId="1" applyNumberFormat="0" applyAlignment="0" applyProtection="0">
      <alignment horizontal="left" vertical="center" indent="1"/>
    </xf>
    <xf numFmtId="0" fontId="4" fillId="17" borderId="1" applyNumberFormat="0" applyAlignment="0" applyProtection="0">
      <alignment horizontal="left" vertical="center" indent="1"/>
    </xf>
    <xf numFmtId="0" fontId="4" fillId="18" borderId="1" applyNumberFormat="0" applyAlignment="0" applyProtection="0">
      <alignment horizontal="left" vertical="center" indent="1"/>
    </xf>
    <xf numFmtId="0" fontId="4" fillId="5" borderId="1" applyNumberFormat="0" applyAlignment="0" applyProtection="0">
      <alignment horizontal="left" vertical="center" indent="1"/>
    </xf>
    <xf numFmtId="0" fontId="4" fillId="4" borderId="3" applyNumberFormat="0" applyAlignment="0" applyProtection="0">
      <alignment horizontal="left" vertical="center" indent="1"/>
    </xf>
    <xf numFmtId="0" fontId="10" fillId="0" borderId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19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0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3" borderId="0" applyNumberFormat="0" applyBorder="0" applyAlignment="0" applyProtection="0"/>
    <xf numFmtId="0" fontId="26" fillId="28" borderId="0" applyNumberFormat="0" applyBorder="0" applyAlignment="0" applyProtection="0"/>
    <xf numFmtId="0" fontId="26" fillId="20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23" fillId="32" borderId="0" applyNumberFormat="0" applyBorder="0" applyAlignment="0" applyProtection="0"/>
    <xf numFmtId="0" fontId="2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36" borderId="0" applyNumberFormat="0" applyBorder="0" applyAlignment="0" applyProtection="0"/>
    <xf numFmtId="0" fontId="23" fillId="45" borderId="0" applyNumberFormat="0" applyBorder="0" applyAlignment="0" applyProtection="0"/>
    <xf numFmtId="0" fontId="17" fillId="36" borderId="0" applyNumberFormat="0" applyBorder="0" applyAlignment="0" applyProtection="0"/>
    <xf numFmtId="0" fontId="27" fillId="46" borderId="6" applyNumberFormat="0" applyAlignment="0" applyProtection="0"/>
    <xf numFmtId="0" fontId="20" fillId="37" borderId="7" applyNumberFormat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49" borderId="0" applyNumberFormat="0" applyBorder="0" applyAlignment="0" applyProtection="0"/>
    <xf numFmtId="0" fontId="29" fillId="0" borderId="0" applyNumberFormat="0" applyFill="0" applyBorder="0" applyAlignment="0" applyProtection="0"/>
    <xf numFmtId="0" fontId="28" fillId="50" borderId="0" applyNumberFormat="0" applyBorder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2" fillId="0" borderId="10" applyNumberFormat="0" applyFill="0" applyAlignment="0" applyProtection="0"/>
    <xf numFmtId="0" fontId="32" fillId="0" borderId="0" applyNumberFormat="0" applyFill="0" applyBorder="0" applyAlignment="0" applyProtection="0"/>
    <xf numFmtId="0" fontId="18" fillId="45" borderId="6" applyNumberFormat="0" applyAlignment="0" applyProtection="0"/>
    <xf numFmtId="0" fontId="21" fillId="0" borderId="11" applyNumberFormat="0" applyFill="0" applyAlignment="0" applyProtection="0"/>
    <xf numFmtId="0" fontId="10" fillId="44" borderId="12" applyNumberFormat="0" applyFont="0" applyAlignment="0" applyProtection="0"/>
    <xf numFmtId="0" fontId="19" fillId="46" borderId="13" applyNumberFormat="0" applyAlignment="0" applyProtection="0"/>
    <xf numFmtId="4" fontId="11" fillId="52" borderId="14" applyNumberFormat="0" applyProtection="0">
      <alignment vertical="center"/>
    </xf>
    <xf numFmtId="4" fontId="12" fillId="52" borderId="14" applyNumberFormat="0" applyProtection="0">
      <alignment vertical="center"/>
    </xf>
    <xf numFmtId="4" fontId="13" fillId="52" borderId="14" applyNumberFormat="0" applyProtection="0">
      <alignment horizontal="left" vertical="center" indent="1"/>
    </xf>
    <xf numFmtId="0" fontId="33" fillId="53" borderId="14" applyNumberFormat="0" applyProtection="0">
      <alignment horizontal="left" vertical="top" indent="1"/>
    </xf>
    <xf numFmtId="4" fontId="37" fillId="54" borderId="15" applyNumberFormat="0" applyProtection="0">
      <alignment horizontal="left" vertical="center" indent="1"/>
    </xf>
    <xf numFmtId="4" fontId="13" fillId="55" borderId="14" applyNumberFormat="0" applyProtection="0">
      <alignment horizontal="right" vertical="center"/>
    </xf>
    <xf numFmtId="4" fontId="13" fillId="56" borderId="14" applyNumberFormat="0" applyProtection="0">
      <alignment horizontal="right" vertical="center"/>
    </xf>
    <xf numFmtId="4" fontId="13" fillId="57" borderId="14" applyNumberFormat="0" applyProtection="0">
      <alignment horizontal="right" vertical="center"/>
    </xf>
    <xf numFmtId="4" fontId="13" fillId="58" borderId="14" applyNumberFormat="0" applyProtection="0">
      <alignment horizontal="right" vertical="center"/>
    </xf>
    <xf numFmtId="4" fontId="13" fillId="59" borderId="14" applyNumberFormat="0" applyProtection="0">
      <alignment horizontal="right" vertical="center"/>
    </xf>
    <xf numFmtId="4" fontId="13" fillId="60" borderId="14" applyNumberFormat="0" applyProtection="0">
      <alignment horizontal="right" vertical="center"/>
    </xf>
    <xf numFmtId="4" fontId="13" fillId="61" borderId="14" applyNumberFormat="0" applyProtection="0">
      <alignment horizontal="right" vertical="center"/>
    </xf>
    <xf numFmtId="4" fontId="13" fillId="62" borderId="14" applyNumberFormat="0" applyProtection="0">
      <alignment horizontal="right" vertical="center"/>
    </xf>
    <xf numFmtId="4" fontId="13" fillId="63" borderId="14" applyNumberFormat="0" applyProtection="0">
      <alignment horizontal="right" vertical="center"/>
    </xf>
    <xf numFmtId="4" fontId="38" fillId="64" borderId="16" applyNumberFormat="0" applyProtection="0">
      <alignment horizontal="left" vertical="center" indent="1"/>
    </xf>
    <xf numFmtId="4" fontId="38" fillId="27" borderId="15" applyNumberFormat="0" applyProtection="0">
      <alignment horizontal="left" vertical="center" indent="1"/>
    </xf>
    <xf numFmtId="4" fontId="11" fillId="65" borderId="0" applyNumberFormat="0" applyProtection="0">
      <alignment horizontal="left" vertical="center" indent="1"/>
    </xf>
    <xf numFmtId="4" fontId="13" fillId="66" borderId="14" applyNumberFormat="0" applyProtection="0">
      <alignment horizontal="right" vertical="center"/>
    </xf>
    <xf numFmtId="4" fontId="39" fillId="54" borderId="0" applyNumberFormat="0" applyProtection="0">
      <alignment horizontal="left" vertical="center" wrapText="1"/>
    </xf>
    <xf numFmtId="4" fontId="40" fillId="54" borderId="0" applyNumberFormat="0" applyProtection="0">
      <alignment horizontal="right" vertical="center"/>
    </xf>
    <xf numFmtId="0" fontId="10" fillId="27" borderId="14" applyNumberFormat="0" applyProtection="0">
      <alignment horizontal="left" vertical="center" indent="1"/>
    </xf>
    <xf numFmtId="0" fontId="16" fillId="27" borderId="14" applyNumberFormat="0" applyProtection="0">
      <alignment horizontal="left" vertical="top" indent="1"/>
    </xf>
    <xf numFmtId="0" fontId="10" fillId="20" borderId="14" applyNumberFormat="0" applyProtection="0">
      <alignment horizontal="left" vertical="center" indent="1"/>
    </xf>
    <xf numFmtId="0" fontId="16" fillId="20" borderId="14" applyNumberFormat="0" applyProtection="0">
      <alignment horizontal="left" vertical="top" indent="1"/>
    </xf>
    <xf numFmtId="0" fontId="10" fillId="67" borderId="14" applyNumberFormat="0" applyProtection="0">
      <alignment horizontal="left" vertical="center" indent="1"/>
    </xf>
    <xf numFmtId="0" fontId="10" fillId="67" borderId="14" applyNumberFormat="0" applyProtection="0">
      <alignment horizontal="left" vertical="top" indent="1"/>
    </xf>
    <xf numFmtId="0" fontId="10" fillId="19" borderId="14" applyNumberFormat="0" applyProtection="0">
      <alignment horizontal="left" vertical="center" indent="1"/>
    </xf>
    <xf numFmtId="0" fontId="10" fillId="19" borderId="14" applyNumberFormat="0" applyProtection="0">
      <alignment horizontal="left" vertical="top" indent="1"/>
    </xf>
    <xf numFmtId="0" fontId="10" fillId="68" borderId="15" applyNumberFormat="0">
      <protection locked="0"/>
    </xf>
    <xf numFmtId="0" fontId="34" fillId="27" borderId="18" applyBorder="0"/>
    <xf numFmtId="4" fontId="13" fillId="69" borderId="14" applyNumberFormat="0" applyProtection="0">
      <alignment vertical="center"/>
    </xf>
    <xf numFmtId="4" fontId="14" fillId="69" borderId="14" applyNumberFormat="0" applyProtection="0">
      <alignment vertical="center"/>
    </xf>
    <xf numFmtId="4" fontId="11" fillId="66" borderId="19" applyNumberFormat="0" applyProtection="0">
      <alignment horizontal="left" vertical="center" indent="1"/>
    </xf>
    <xf numFmtId="0" fontId="25" fillId="70" borderId="14" applyNumberFormat="0" applyProtection="0">
      <alignment horizontal="left" vertical="top" indent="1"/>
    </xf>
    <xf numFmtId="4" fontId="37" fillId="69" borderId="14" applyNumberFormat="0" applyProtection="0">
      <alignment horizontal="right" vertical="center"/>
    </xf>
    <xf numFmtId="4" fontId="14" fillId="69" borderId="14" applyNumberFormat="0" applyProtection="0">
      <alignment horizontal="right" vertical="center"/>
    </xf>
    <xf numFmtId="4" fontId="38" fillId="66" borderId="14" applyNumberFormat="0" applyProtection="0">
      <alignment horizontal="right" vertical="center"/>
    </xf>
    <xf numFmtId="0" fontId="37" fillId="20" borderId="14" applyNumberFormat="0" applyProtection="0">
      <alignment horizontal="left" vertical="top" indent="1"/>
    </xf>
    <xf numFmtId="4" fontId="41" fillId="71" borderId="17" applyNumberFormat="0" applyProtection="0">
      <alignment horizontal="left" vertical="center" indent="1"/>
    </xf>
    <xf numFmtId="0" fontId="16" fillId="72" borderId="15"/>
    <xf numFmtId="4" fontId="15" fillId="69" borderId="14" applyNumberFormat="0" applyProtection="0">
      <alignment horizontal="right" vertical="center"/>
    </xf>
    <xf numFmtId="0" fontId="35" fillId="0" borderId="0" applyNumberFormat="0" applyFill="0" applyBorder="0" applyAlignment="0" applyProtection="0"/>
    <xf numFmtId="0" fontId="16" fillId="51" borderId="0"/>
    <xf numFmtId="0" fontId="35" fillId="0" borderId="0" applyNumberFormat="0" applyFill="0" applyBorder="0" applyAlignment="0" applyProtection="0"/>
    <xf numFmtId="0" fontId="22" fillId="0" borderId="20" applyNumberFormat="0" applyFill="0" applyAlignment="0" applyProtection="0"/>
    <xf numFmtId="0" fontId="36" fillId="0" borderId="0" applyNumberFormat="0" applyFill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7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7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10" fillId="0" borderId="0"/>
  </cellStyleXfs>
  <cellXfs count="41">
    <xf numFmtId="0" fontId="0" fillId="0" borderId="0" xfId="0"/>
    <xf numFmtId="0" fontId="1" fillId="2" borderId="21" xfId="1" quotePrefix="1" applyNumberFormat="1" applyBorder="1" applyAlignment="1"/>
    <xf numFmtId="0" fontId="1" fillId="2" borderId="22" xfId="1" quotePrefix="1" applyNumberFormat="1" applyBorder="1" applyAlignment="1"/>
    <xf numFmtId="0" fontId="2" fillId="15" borderId="22" xfId="21" quotePrefix="1" applyNumberFormat="1" applyBorder="1" applyAlignment="1"/>
    <xf numFmtId="0" fontId="2" fillId="15" borderId="23" xfId="21" quotePrefix="1" applyNumberFormat="1" applyBorder="1" applyAlignment="1"/>
    <xf numFmtId="0" fontId="2" fillId="15" borderId="22" xfId="21" applyNumberFormat="1" applyBorder="1" applyAlignment="1"/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left"/>
    </xf>
    <xf numFmtId="0" fontId="0" fillId="73" borderId="15" xfId="0" applyFill="1" applyBorder="1" applyAlignment="1">
      <alignment horizontal="center"/>
    </xf>
    <xf numFmtId="0" fontId="0" fillId="74" borderId="15" xfId="0" applyFill="1" applyBorder="1" applyAlignment="1">
      <alignment horizontal="center"/>
    </xf>
    <xf numFmtId="0" fontId="0" fillId="0" borderId="0" xfId="0" pivotButton="1"/>
    <xf numFmtId="0" fontId="0" fillId="75" borderId="15" xfId="0" applyFill="1" applyBorder="1" applyAlignment="1">
      <alignment horizontal="center"/>
    </xf>
    <xf numFmtId="0" fontId="0" fillId="0" borderId="0" xfId="0" applyNumberFormat="1"/>
    <xf numFmtId="0" fontId="0" fillId="0" borderId="24" xfId="0" applyFill="1" applyBorder="1" applyAlignment="1">
      <alignment horizontal="center"/>
    </xf>
    <xf numFmtId="0" fontId="42" fillId="0" borderId="0" xfId="0" applyFont="1"/>
    <xf numFmtId="0" fontId="0" fillId="0" borderId="0" xfId="0" applyAlignment="1">
      <alignment horizontal="right"/>
    </xf>
    <xf numFmtId="0" fontId="43" fillId="0" borderId="0" xfId="0" applyFont="1"/>
    <xf numFmtId="0" fontId="42" fillId="79" borderId="0" xfId="0" applyFont="1" applyFill="1"/>
    <xf numFmtId="0" fontId="44" fillId="0" borderId="0" xfId="0" applyFont="1"/>
    <xf numFmtId="0" fontId="42" fillId="80" borderId="0" xfId="0" applyFont="1" applyFill="1"/>
    <xf numFmtId="166" fontId="0" fillId="0" borderId="0" xfId="0" applyNumberFormat="1" applyAlignment="1">
      <alignment horizontal="right"/>
    </xf>
    <xf numFmtId="0" fontId="42" fillId="73" borderId="0" xfId="0" applyFont="1" applyFill="1"/>
    <xf numFmtId="0" fontId="42" fillId="78" borderId="0" xfId="0" applyFont="1" applyFill="1" applyAlignment="1">
      <alignment horizontal="right"/>
    </xf>
    <xf numFmtId="0" fontId="42" fillId="78" borderId="0" xfId="0" applyFont="1" applyFill="1" applyAlignment="1"/>
    <xf numFmtId="0" fontId="42" fillId="80" borderId="0" xfId="0" applyFont="1" applyFill="1" applyAlignment="1">
      <alignment horizontal="right"/>
    </xf>
    <xf numFmtId="0" fontId="42" fillId="73" borderId="0" xfId="0" applyFont="1" applyFill="1" applyAlignment="1">
      <alignment horizontal="right"/>
    </xf>
    <xf numFmtId="49" fontId="45" fillId="76" borderId="25" xfId="0" applyNumberFormat="1" applyFont="1" applyFill="1" applyBorder="1" applyAlignment="1">
      <alignment horizontal="left"/>
    </xf>
    <xf numFmtId="49" fontId="45" fillId="77" borderId="25" xfId="0" applyNumberFormat="1" applyFont="1" applyFill="1" applyBorder="1" applyAlignment="1">
      <alignment horizontal="left"/>
    </xf>
    <xf numFmtId="0" fontId="45" fillId="77" borderId="0" xfId="0" applyFont="1" applyFill="1" applyAlignment="1">
      <alignment horizontal="left"/>
    </xf>
    <xf numFmtId="165" fontId="45" fillId="76" borderId="25" xfId="0" applyNumberFormat="1" applyFont="1" applyFill="1" applyBorder="1" applyAlignment="1">
      <alignment horizontal="left"/>
    </xf>
    <xf numFmtId="165" fontId="45" fillId="77" borderId="25" xfId="0" applyNumberFormat="1" applyFont="1" applyFill="1" applyBorder="1" applyAlignment="1">
      <alignment horizontal="left"/>
    </xf>
    <xf numFmtId="0" fontId="45" fillId="76" borderId="25" xfId="0" applyFont="1" applyFill="1" applyBorder="1" applyAlignment="1">
      <alignment horizontal="right"/>
    </xf>
    <xf numFmtId="0" fontId="45" fillId="77" borderId="25" xfId="0" applyFont="1" applyFill="1" applyBorder="1" applyAlignment="1">
      <alignment horizontal="right"/>
    </xf>
    <xf numFmtId="0" fontId="42" fillId="81" borderId="0" xfId="0" applyFont="1" applyFill="1"/>
    <xf numFmtId="0" fontId="42" fillId="81" borderId="0" xfId="0" applyFont="1" applyFill="1" applyAlignment="1">
      <alignment horizontal="right"/>
    </xf>
    <xf numFmtId="0" fontId="42" fillId="82" borderId="0" xfId="0" applyFont="1" applyFill="1"/>
    <xf numFmtId="0" fontId="42" fillId="82" borderId="0" xfId="0" applyFont="1" applyFill="1" applyAlignment="1">
      <alignment horizontal="right"/>
    </xf>
    <xf numFmtId="0" fontId="0" fillId="74" borderId="24" xfId="0" applyFill="1" applyBorder="1" applyAlignment="1">
      <alignment horizontal="center"/>
    </xf>
    <xf numFmtId="0" fontId="0" fillId="0" borderId="0" xfId="0" applyBorder="1"/>
    <xf numFmtId="0" fontId="44" fillId="0" borderId="0" xfId="0" applyFont="1" applyAlignment="1">
      <alignment horizontal="center"/>
    </xf>
  </cellXfs>
  <cellStyles count="146">
    <cellStyle name="0,0_x000d__x000a_NA_x000d__x000a_" xfId="145"/>
    <cellStyle name="20% - Accent1 2" xfId="29"/>
    <cellStyle name="20% - Accent2 2" xfId="30"/>
    <cellStyle name="20% - Accent3 2" xfId="31"/>
    <cellStyle name="20% - Accent4 2" xfId="32"/>
    <cellStyle name="20% - Accent5 2" xfId="33"/>
    <cellStyle name="20% - Accent6 2" xfId="34"/>
    <cellStyle name="40% - Accent1 2" xfId="35"/>
    <cellStyle name="40% - Accent2 2" xfId="36"/>
    <cellStyle name="40% - Accent3 2" xfId="37"/>
    <cellStyle name="40% - Accent4 2" xfId="38"/>
    <cellStyle name="40% - Accent5 2" xfId="39"/>
    <cellStyle name="40% - Accent6 2" xfId="40"/>
    <cellStyle name="60% - Accent1 2" xfId="41"/>
    <cellStyle name="60% - Accent2 2" xfId="42"/>
    <cellStyle name="60% - Accent3 2" xfId="43"/>
    <cellStyle name="60% - Accent4 2" xfId="44"/>
    <cellStyle name="60% - Accent5 2" xfId="45"/>
    <cellStyle name="60% - Accent6 2" xfId="46"/>
    <cellStyle name="Accent1 - 20%" xfId="48"/>
    <cellStyle name="Accent1 - 40%" xfId="49"/>
    <cellStyle name="Accent1 - 60%" xfId="50"/>
    <cellStyle name="Accent1 2" xfId="47"/>
    <cellStyle name="Accent1 3" xfId="133"/>
    <cellStyle name="Accent1 4" xfId="139"/>
    <cellStyle name="Accent2 - 20%" xfId="52"/>
    <cellStyle name="Accent2 - 40%" xfId="53"/>
    <cellStyle name="Accent2 - 60%" xfId="54"/>
    <cellStyle name="Accent2 2" xfId="51"/>
    <cellStyle name="Accent2 3" xfId="134"/>
    <cellStyle name="Accent2 4" xfId="140"/>
    <cellStyle name="Accent3 - 20%" xfId="56"/>
    <cellStyle name="Accent3 - 40%" xfId="57"/>
    <cellStyle name="Accent3 - 60%" xfId="58"/>
    <cellStyle name="Accent3 2" xfId="55"/>
    <cellStyle name="Accent3 3" xfId="135"/>
    <cellStyle name="Accent3 4" xfId="141"/>
    <cellStyle name="Accent4 - 20%" xfId="60"/>
    <cellStyle name="Accent4 - 40%" xfId="61"/>
    <cellStyle name="Accent4 - 60%" xfId="62"/>
    <cellStyle name="Accent4 2" xfId="59"/>
    <cellStyle name="Accent4 3" xfId="136"/>
    <cellStyle name="Accent4 4" xfId="142"/>
    <cellStyle name="Accent5 - 20%" xfId="64"/>
    <cellStyle name="Accent5 - 40%" xfId="65"/>
    <cellStyle name="Accent5 - 60%" xfId="66"/>
    <cellStyle name="Accent5 2" xfId="63"/>
    <cellStyle name="Accent5 3" xfId="137"/>
    <cellStyle name="Accent5 4" xfId="143"/>
    <cellStyle name="Accent6 - 20%" xfId="68"/>
    <cellStyle name="Accent6 - 40%" xfId="69"/>
    <cellStyle name="Accent6 - 60%" xfId="70"/>
    <cellStyle name="Accent6 2" xfId="67"/>
    <cellStyle name="Accent6 3" xfId="138"/>
    <cellStyle name="Accent6 4" xfId="144"/>
    <cellStyle name="Bad 2" xfId="71"/>
    <cellStyle name="Calculation 2" xfId="72"/>
    <cellStyle name="Check Cell 2" xfId="73"/>
    <cellStyle name="Emphasis 1" xfId="74"/>
    <cellStyle name="Emphasis 2" xfId="75"/>
    <cellStyle name="Emphasis 3" xfId="76"/>
    <cellStyle name="Explanatory Text 2" xfId="77"/>
    <cellStyle name="Good 2" xfId="78"/>
    <cellStyle name="Heading 1 2" xfId="79"/>
    <cellStyle name="Heading 2 2" xfId="80"/>
    <cellStyle name="Heading 3 2" xfId="81"/>
    <cellStyle name="Heading 4 2" xfId="82"/>
    <cellStyle name="Input 2" xfId="83"/>
    <cellStyle name="Linked Cell 2" xfId="84"/>
    <cellStyle name="Normal" xfId="0" builtinId="0"/>
    <cellStyle name="Normal 2" xfId="28"/>
    <cellStyle name="Note 2" xfId="85"/>
    <cellStyle name="Output 2" xfId="86"/>
    <cellStyle name="SAPBEXaggData" xfId="87"/>
    <cellStyle name="SAPBEXaggDataEmph" xfId="88"/>
    <cellStyle name="SAPBEXaggItem" xfId="89"/>
    <cellStyle name="SAPBEXaggItemX" xfId="90"/>
    <cellStyle name="SAPBEXchaText" xfId="91"/>
    <cellStyle name="SAPBEXexcBad7" xfId="92"/>
    <cellStyle name="SAPBEXexcBad8" xfId="93"/>
    <cellStyle name="SAPBEXexcBad9" xfId="94"/>
    <cellStyle name="SAPBEXexcCritical4" xfId="95"/>
    <cellStyle name="SAPBEXexcCritical5" xfId="96"/>
    <cellStyle name="SAPBEXexcCritical6" xfId="97"/>
    <cellStyle name="SAPBEXexcGood1" xfId="98"/>
    <cellStyle name="SAPBEXexcGood2" xfId="99"/>
    <cellStyle name="SAPBEXexcGood3" xfId="100"/>
    <cellStyle name="SAPBEXfilterDrill" xfId="101"/>
    <cellStyle name="SAPBEXfilterItem" xfId="102"/>
    <cellStyle name="SAPBEXfilterText" xfId="103"/>
    <cellStyle name="SAPBEXformats" xfId="104"/>
    <cellStyle name="SAPBEXheaderItem" xfId="105"/>
    <cellStyle name="SAPBEXheaderText" xfId="106"/>
    <cellStyle name="SAPBEXHLevel0" xfId="107"/>
    <cellStyle name="SAPBEXHLevel0X" xfId="108"/>
    <cellStyle name="SAPBEXHLevel1" xfId="109"/>
    <cellStyle name="SAPBEXHLevel1X" xfId="110"/>
    <cellStyle name="SAPBEXHLevel2" xfId="111"/>
    <cellStyle name="SAPBEXHLevel2X" xfId="112"/>
    <cellStyle name="SAPBEXHLevel3" xfId="113"/>
    <cellStyle name="SAPBEXHLevel3X" xfId="114"/>
    <cellStyle name="SAPBEXinputData" xfId="115"/>
    <cellStyle name="SAPBEXItemHeader" xfId="116"/>
    <cellStyle name="SAPBEXresData" xfId="117"/>
    <cellStyle name="SAPBEXresDataEmph" xfId="118"/>
    <cellStyle name="SAPBEXresItem" xfId="119"/>
    <cellStyle name="SAPBEXresItemX" xfId="120"/>
    <cellStyle name="SAPBEXstdData" xfId="121"/>
    <cellStyle name="SAPBEXstdDataEmph" xfId="122"/>
    <cellStyle name="SAPBEXstdItem" xfId="123"/>
    <cellStyle name="SAPBEXstdItemX" xfId="124"/>
    <cellStyle name="SAPBEXtitle" xfId="125"/>
    <cellStyle name="SAPBEXunassignedItem" xfId="126"/>
    <cellStyle name="SAPBEXundefined" xfId="127"/>
    <cellStyle name="SAPBorder" xfId="20"/>
    <cellStyle name="SAPDataCell" xfId="2"/>
    <cellStyle name="SAPDataTotalCell" xfId="3"/>
    <cellStyle name="SAPDimensionCell" xfId="1"/>
    <cellStyle name="SAPEditableDataCell" xfId="5"/>
    <cellStyle name="SAPEditableDataTotalCell" xfId="8"/>
    <cellStyle name="SAPEmphasized" xfId="4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HierarchyCell0" xfId="23"/>
    <cellStyle name="SAPHierarchyCell1" xfId="24"/>
    <cellStyle name="SAPHierarchyCell2" xfId="25"/>
    <cellStyle name="SAPHierarchyCell3" xfId="26"/>
    <cellStyle name="SAPHierarchyCell4" xfId="27"/>
    <cellStyle name="SAPLockedDataCell" xfId="7"/>
    <cellStyle name="SAPLockedDataTotalCell" xfId="10"/>
    <cellStyle name="SAPMemberCell" xfId="21"/>
    <cellStyle name="SAPMemberTotalCell" xfId="22"/>
    <cellStyle name="SAPReadonlyDataCell" xfId="6"/>
    <cellStyle name="SAPReadonlyDataTotalCell" xfId="9"/>
    <cellStyle name="Sheet Title" xfId="128"/>
    <cellStyle name="Standard_CSR Snapshot Weekly" xfId="129"/>
    <cellStyle name="Title 2" xfId="130"/>
    <cellStyle name="Total 2" xfId="131"/>
    <cellStyle name="Warning Text 2" xfId="132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Arial"/>
        <scheme val="none"/>
      </font>
      <numFmt numFmtId="30" formatCode="@"/>
      <fill>
        <patternFill patternType="solid">
          <fgColor rgb="FFFFFFFF"/>
          <bgColor rgb="FFF8FBFC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</dxf>
    <dxf>
      <border outline="0">
        <left style="thin">
          <color theme="3" tint="-0.24994659260841701"/>
        </left>
        <right style="thin">
          <color theme="3" tint="-0.24994659260841701"/>
        </right>
        <top style="thin">
          <color theme="3" tint="-0.24994659260841701"/>
        </top>
      </border>
    </dxf>
    <dxf>
      <border outline="0">
        <bottom style="thin">
          <color theme="3" tint="-0.24994659260841701"/>
        </bottom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theme="3" tint="-0.24994659260841701"/>
        </left>
        <right style="thin">
          <color theme="3" tint="-0.24994659260841701"/>
        </right>
        <top/>
        <bottom/>
      </border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2016 eMBMS CSR Status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inflow!$B$2</c:f>
              <c:strCache>
                <c:ptCount val="1"/>
                <c:pt idx="0">
                  <c:v>eMBMS In</c:v>
                </c:pt>
              </c:strCache>
            </c:strRef>
          </c:tx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inflow!$C$2:$N$2</c:f>
              <c:numCache>
                <c:formatCode>General</c:formatCode>
                <c:ptCount val="12"/>
                <c:pt idx="0">
                  <c:v>9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21</c:v>
                </c:pt>
                <c:pt idx="5">
                  <c:v>29</c:v>
                </c:pt>
                <c:pt idx="6">
                  <c:v>19</c:v>
                </c:pt>
                <c:pt idx="7">
                  <c:v>26</c:v>
                </c:pt>
                <c:pt idx="8">
                  <c:v>24</c:v>
                </c:pt>
                <c:pt idx="9">
                  <c:v>28</c:v>
                </c:pt>
                <c:pt idx="10">
                  <c:v>19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5-4D2D-94D3-C321B0320D82}"/>
            </c:ext>
          </c:extLst>
        </c:ser>
        <c:ser>
          <c:idx val="1"/>
          <c:order val="1"/>
          <c:tx>
            <c:strRef>
              <c:f>inflow!$B$3</c:f>
              <c:strCache>
                <c:ptCount val="1"/>
                <c:pt idx="0">
                  <c:v>T2 In</c:v>
                </c:pt>
              </c:strCache>
            </c:strRef>
          </c:tx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inflow!$C$3:$N$3</c:f>
              <c:numCache>
                <c:formatCode>General</c:formatCode>
                <c:ptCount val="12"/>
                <c:pt idx="0">
                  <c:v>2</c:v>
                </c:pt>
                <c:pt idx="1">
                  <c:v>7</c:v>
                </c:pt>
                <c:pt idx="2">
                  <c:v>10</c:v>
                </c:pt>
                <c:pt idx="3">
                  <c:v>12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10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5-4D2D-94D3-C321B0320D82}"/>
            </c:ext>
          </c:extLst>
        </c:ser>
        <c:ser>
          <c:idx val="2"/>
          <c:order val="2"/>
          <c:tx>
            <c:strRef>
              <c:f>inflow!$B$4</c:f>
              <c:strCache>
                <c:ptCount val="1"/>
                <c:pt idx="0">
                  <c:v>T2 Out</c:v>
                </c:pt>
              </c:strCache>
            </c:strRef>
          </c:tx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inflow!$C$4:$N$4</c:f>
              <c:numCache>
                <c:formatCode>General</c:formatCode>
                <c:ptCount val="12"/>
                <c:pt idx="0">
                  <c:v>7</c:v>
                </c:pt>
                <c:pt idx="1">
                  <c:v>1</c:v>
                </c:pt>
                <c:pt idx="2">
                  <c:v>12</c:v>
                </c:pt>
                <c:pt idx="3">
                  <c:v>11</c:v>
                </c:pt>
                <c:pt idx="4">
                  <c:v>15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12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65-4D2D-94D3-C321B0320D82}"/>
            </c:ext>
          </c:extLst>
        </c:ser>
        <c:ser>
          <c:idx val="3"/>
          <c:order val="3"/>
          <c:tx>
            <c:strRef>
              <c:f>inflow!$B$5</c:f>
              <c:strCache>
                <c:ptCount val="1"/>
                <c:pt idx="0">
                  <c:v>T2 Open</c:v>
                </c:pt>
              </c:strCache>
            </c:strRef>
          </c:tx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inflow!$C$5:$N$5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65-4D2D-94D3-C321B032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24352"/>
        <c:axId val="132338432"/>
      </c:barChart>
      <c:lineChart>
        <c:grouping val="standard"/>
        <c:varyColors val="0"/>
        <c:ser>
          <c:idx val="4"/>
          <c:order val="4"/>
          <c:tx>
            <c:strRef>
              <c:f>inflow!$B$18</c:f>
              <c:strCache>
                <c:ptCount val="1"/>
                <c:pt idx="0">
                  <c:v>2015 Acc T2 In</c:v>
                </c:pt>
              </c:strCache>
            </c:strRef>
          </c:tx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inflow!$C$18:$N$18</c:f>
              <c:numCache>
                <c:formatCode>General</c:formatCode>
                <c:ptCount val="12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21</c:v>
                </c:pt>
                <c:pt idx="4">
                  <c:v>24</c:v>
                </c:pt>
                <c:pt idx="5">
                  <c:v>35</c:v>
                </c:pt>
                <c:pt idx="6">
                  <c:v>39</c:v>
                </c:pt>
                <c:pt idx="7">
                  <c:v>46</c:v>
                </c:pt>
                <c:pt idx="8">
                  <c:v>49</c:v>
                </c:pt>
                <c:pt idx="9">
                  <c:v>59</c:v>
                </c:pt>
                <c:pt idx="10">
                  <c:v>64</c:v>
                </c:pt>
                <c:pt idx="1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65-4D2D-94D3-C321B0320D82}"/>
            </c:ext>
          </c:extLst>
        </c:ser>
        <c:ser>
          <c:idx val="5"/>
          <c:order val="5"/>
          <c:tx>
            <c:strRef>
              <c:f>inflow!$B$19</c:f>
              <c:strCache>
                <c:ptCount val="1"/>
                <c:pt idx="0">
                  <c:v>Acc T2 In</c:v>
                </c:pt>
              </c:strCache>
            </c:strRef>
          </c:tx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inflow!$C$19:$N$19</c:f>
              <c:numCache>
                <c:formatCode>General</c:formatCode>
                <c:ptCount val="12"/>
                <c:pt idx="0">
                  <c:v>2</c:v>
                </c:pt>
                <c:pt idx="1">
                  <c:v>9</c:v>
                </c:pt>
                <c:pt idx="2">
                  <c:v>19</c:v>
                </c:pt>
                <c:pt idx="3">
                  <c:v>31</c:v>
                </c:pt>
                <c:pt idx="4">
                  <c:v>45</c:v>
                </c:pt>
                <c:pt idx="5">
                  <c:v>53</c:v>
                </c:pt>
                <c:pt idx="6">
                  <c:v>57</c:v>
                </c:pt>
                <c:pt idx="7">
                  <c:v>62</c:v>
                </c:pt>
                <c:pt idx="8">
                  <c:v>67</c:v>
                </c:pt>
                <c:pt idx="9">
                  <c:v>70</c:v>
                </c:pt>
                <c:pt idx="10">
                  <c:v>80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65-4D2D-94D3-C321B0320D82}"/>
            </c:ext>
          </c:extLst>
        </c:ser>
        <c:ser>
          <c:idx val="6"/>
          <c:order val="6"/>
          <c:tx>
            <c:strRef>
              <c:f>inflow!$B$20</c:f>
              <c:strCache>
                <c:ptCount val="1"/>
                <c:pt idx="0">
                  <c:v>Planned Acc T2 In</c:v>
                </c:pt>
              </c:strCache>
            </c:strRef>
          </c:tx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inflow!$C$20:$N$20</c:f>
              <c:numCache>
                <c:formatCode>General</c:formatCode>
                <c:ptCount val="12"/>
                <c:pt idx="0">
                  <c:v>8</c:v>
                </c:pt>
                <c:pt idx="1">
                  <c:v>16</c:v>
                </c:pt>
                <c:pt idx="2">
                  <c:v>24</c:v>
                </c:pt>
                <c:pt idx="3">
                  <c:v>32</c:v>
                </c:pt>
                <c:pt idx="4">
                  <c:v>40</c:v>
                </c:pt>
                <c:pt idx="5">
                  <c:v>48</c:v>
                </c:pt>
                <c:pt idx="6">
                  <c:v>56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65-4D2D-94D3-C321B032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41760"/>
        <c:axId val="132339968"/>
      </c:lineChart>
      <c:catAx>
        <c:axId val="132324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32338432"/>
        <c:crosses val="autoZero"/>
        <c:auto val="1"/>
        <c:lblAlgn val="ctr"/>
        <c:lblOffset val="100"/>
        <c:noMultiLvlLbl val="0"/>
      </c:catAx>
      <c:valAx>
        <c:axId val="1323384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2324352"/>
        <c:crosses val="autoZero"/>
        <c:crossBetween val="between"/>
      </c:valAx>
      <c:valAx>
        <c:axId val="1323399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2341760"/>
        <c:crosses val="max"/>
        <c:crossBetween val="between"/>
      </c:valAx>
      <c:catAx>
        <c:axId val="132341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33996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CSR Leve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inflow!$B$8</c:f>
              <c:strCache>
                <c:ptCount val="1"/>
                <c:pt idx="0">
                  <c:v>T2 Low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inflow!$C$1:$F$1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inflow!$C$8:$F$8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4-441B-AF68-BFD9516511DA}"/>
            </c:ext>
          </c:extLst>
        </c:ser>
        <c:ser>
          <c:idx val="1"/>
          <c:order val="1"/>
          <c:tx>
            <c:strRef>
              <c:f>inflow!$B$9</c:f>
              <c:strCache>
                <c:ptCount val="1"/>
                <c:pt idx="0">
                  <c:v>T2 Medium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inflow!$C$1:$F$1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inflow!$C$9:$F$9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E4-441B-AF68-BFD9516511DA}"/>
            </c:ext>
          </c:extLst>
        </c:ser>
        <c:ser>
          <c:idx val="2"/>
          <c:order val="2"/>
          <c:tx>
            <c:strRef>
              <c:f>inflow!$B$10</c:f>
              <c:strCache>
                <c:ptCount val="1"/>
                <c:pt idx="0">
                  <c:v>T2 High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inflow!$C$1:$F$1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inflow!$C$10:$F$10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E4-441B-AF68-BFD951651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32371968"/>
        <c:axId val="132373504"/>
      </c:barChart>
      <c:catAx>
        <c:axId val="1323719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32373504"/>
        <c:crosses val="autoZero"/>
        <c:auto val="1"/>
        <c:lblAlgn val="ctr"/>
        <c:lblOffset val="100"/>
        <c:noMultiLvlLbl val="0"/>
      </c:catAx>
      <c:valAx>
        <c:axId val="13237350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32371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CSR</a:t>
            </a:r>
            <a:r>
              <a:rPr lang="en-US" baseline="0"/>
              <a:t> in 2016 vs. 2015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inflow!$C$3:$N$3</c:f>
              <c:numCache>
                <c:formatCode>General</c:formatCode>
                <c:ptCount val="12"/>
                <c:pt idx="0">
                  <c:v>2</c:v>
                </c:pt>
                <c:pt idx="1">
                  <c:v>7</c:v>
                </c:pt>
                <c:pt idx="2">
                  <c:v>10</c:v>
                </c:pt>
                <c:pt idx="3">
                  <c:v>12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10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3-4E0E-B0F5-D990270271C5}"/>
            </c:ext>
          </c:extLst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inflow!$C$1:$N$1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inflow!$C$17:$N$17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11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10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3-4E0E-B0F5-D99027027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918296"/>
        <c:axId val="429918624"/>
      </c:barChart>
      <c:catAx>
        <c:axId val="42991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18624"/>
        <c:crosses val="autoZero"/>
        <c:auto val="1"/>
        <c:lblAlgn val="ctr"/>
        <c:lblOffset val="100"/>
        <c:noMultiLvlLbl val="0"/>
      </c:catAx>
      <c:valAx>
        <c:axId val="42991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1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CSR</a:t>
            </a:r>
            <a:r>
              <a:rPr lang="en-US" baseline="0"/>
              <a:t> Severity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80-49D6-B570-243BA899682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80-49D6-B570-243BA899682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80-49D6-B570-243BA899682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80-49D6-B570-243BA899682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80-49D6-B570-243BA89968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inflow!$B$8:$B$12</c:f>
              <c:strCache>
                <c:ptCount val="5"/>
                <c:pt idx="0">
                  <c:v>T2 Low</c:v>
                </c:pt>
                <c:pt idx="1">
                  <c:v>T2 Medium</c:v>
                </c:pt>
                <c:pt idx="2">
                  <c:v>T2 High</c:v>
                </c:pt>
                <c:pt idx="3">
                  <c:v>T2 Hot</c:v>
                </c:pt>
                <c:pt idx="4">
                  <c:v>T2 Emergency</c:v>
                </c:pt>
              </c:strCache>
            </c:strRef>
          </c:cat>
          <c:val>
            <c:numRef>
              <c:f>inflow!$O$8:$O$12</c:f>
              <c:numCache>
                <c:formatCode>General</c:formatCode>
                <c:ptCount val="5"/>
                <c:pt idx="0">
                  <c:v>9</c:v>
                </c:pt>
                <c:pt idx="1">
                  <c:v>58</c:v>
                </c:pt>
                <c:pt idx="2">
                  <c:v>12</c:v>
                </c:pt>
                <c:pt idx="3">
                  <c:v>0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5-4875-82A5-A2319BC8DDC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CSR inflow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2016</c:v>
          </c:tx>
          <c:invertIfNegative val="0"/>
          <c: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4-468F-8A24-E9786E9A9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47936"/>
        <c:axId val="132670208"/>
      </c:barChart>
      <c:catAx>
        <c:axId val="132647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2670208"/>
        <c:crosses val="autoZero"/>
        <c:auto val="1"/>
        <c:lblAlgn val="ctr"/>
        <c:lblOffset val="100"/>
        <c:noMultiLvlLbl val="0"/>
      </c:catAx>
      <c:valAx>
        <c:axId val="13267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647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Sheet1!$A$21:$A$42</c:f>
              <c:strCache>
                <c:ptCount val="22"/>
                <c:pt idx="0">
                  <c:v>CNF No Fault - Working as designed</c:v>
                </c:pt>
                <c:pt idx="1">
                  <c:v>Not Assigned</c:v>
                </c:pt>
                <c:pt idx="2">
                  <c:v>CCF Customer Configuration Fault</c:v>
                </c:pt>
                <c:pt idx="3">
                  <c:v>ONC Other - No Applicable Code</c:v>
                </c:pt>
                <c:pt idx="4">
                  <c:v>ECF Ericsson Configuration Fault</c:v>
                </c:pt>
                <c:pt idx="5">
                  <c:v>CCP Customer Capacity Problem</c:v>
                </c:pt>
                <c:pt idx="6">
                  <c:v>CIC Customer Insufficient Competence</c:v>
                </c:pt>
                <c:pt idx="7">
                  <c:v>ESF Confirmed Software Fault</c:v>
                </c:pt>
                <c:pt idx="8">
                  <c:v>COS Outside Scope Other Vendor Faults</c:v>
                </c:pt>
                <c:pt idx="9">
                  <c:v>ESP Software Package Quality</c:v>
                </c:pt>
                <c:pt idx="10">
                  <c:v>ONR Not Reproduceable Problem</c:v>
                </c:pt>
                <c:pt idx="11">
                  <c:v>CDU Duplicate Customer CSR</c:v>
                </c:pt>
                <c:pt idx="12">
                  <c:v>EHD Confirmed Hardware Design Fault</c:v>
                </c:pt>
                <c:pt idx="13">
                  <c:v>EDF Docs/Procedures - Inadequate/Outdate</c:v>
                </c:pt>
                <c:pt idx="14">
                  <c:v>CPH Customer Process Handling Error</c:v>
                </c:pt>
                <c:pt idx="15">
                  <c:v>CSM Insufficient System Maintenance</c:v>
                </c:pt>
                <c:pt idx="16">
                  <c:v>EPH Ericsson Process Handling Error</c:v>
                </c:pt>
                <c:pt idx="17">
                  <c:v>EPR Ineffective Automatic Node Recovery</c:v>
                </c:pt>
                <c:pt idx="18">
                  <c:v>CSN Available Solution Not Implemented</c:v>
                </c:pt>
                <c:pt idx="19">
                  <c:v>OID Insufficient / No Data Received</c:v>
                </c:pt>
                <c:pt idx="20">
                  <c:v>EHF Faulty HW</c:v>
                </c:pt>
                <c:pt idx="21">
                  <c:v>OPF Other - Power Failure</c:v>
                </c:pt>
              </c:strCache>
            </c:strRef>
          </c:cat>
          <c:val>
            <c:numRef>
              <c:f>Sheet1!$B$21:$B$42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E-4373-8373-DDB72A293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15488"/>
        <c:axId val="132829568"/>
      </c:barChart>
      <c:catAx>
        <c:axId val="132815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2829568"/>
        <c:crosses val="autoZero"/>
        <c:auto val="1"/>
        <c:lblAlgn val="ctr"/>
        <c:lblOffset val="100"/>
        <c:noMultiLvlLbl val="0"/>
      </c:catAx>
      <c:valAx>
        <c:axId val="13282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815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Sheet1!$A$48:$A$104</c:f>
              <c:strCache>
                <c:ptCount val="57"/>
                <c:pt idx="0">
                  <c:v>AT&amp;T Mobility National</c:v>
                </c:pt>
                <c:pt idx="1">
                  <c:v>PT. Indosat ID</c:v>
                </c:pt>
                <c:pt idx="2">
                  <c:v>Bharti CS</c:v>
                </c:pt>
                <c:pt idx="3">
                  <c:v>AT&amp;T Mobility SWD</c:v>
                </c:pt>
                <c:pt idx="4">
                  <c:v>Partner IL</c:v>
                </c:pt>
                <c:pt idx="5">
                  <c:v>Jawwal PS</c:v>
                </c:pt>
                <c:pt idx="6">
                  <c:v>MTN Nigeria NG</c:v>
                </c:pt>
                <c:pt idx="7">
                  <c:v>MTN Uganda UG</c:v>
                </c:pt>
                <c:pt idx="8">
                  <c:v>VN VMS - GSM MobiFone</c:v>
                </c:pt>
                <c:pt idx="9">
                  <c:v>Vimpelcom RU</c:v>
                </c:pt>
                <c:pt idx="10">
                  <c:v>T2RUS</c:v>
                </c:pt>
                <c:pt idx="11">
                  <c:v>Telstra Mobility (AU)</c:v>
                </c:pt>
                <c:pt idx="12">
                  <c:v>DiGi</c:v>
                </c:pt>
                <c:pt idx="13">
                  <c:v>Entel Chile</c:v>
                </c:pt>
                <c:pt idx="14">
                  <c:v>Chung Hwa Telecomm TW</c:v>
                </c:pt>
                <c:pt idx="15">
                  <c:v>SingTel Mobile SG</c:v>
                </c:pt>
                <c:pt idx="16">
                  <c:v>China Mobile Hongkong</c:v>
                </c:pt>
                <c:pt idx="17">
                  <c:v>AVEA TR</c:v>
                </c:pt>
                <c:pt idx="18">
                  <c:v>COSMOTE GR</c:v>
                </c:pt>
                <c:pt idx="19">
                  <c:v>MS_Bharti New Delhi_IN</c:v>
                </c:pt>
                <c:pt idx="20">
                  <c:v>MS_VIRGIN_FR</c:v>
                </c:pt>
                <c:pt idx="21">
                  <c:v>MS_Bharti Kolkata_IN</c:v>
                </c:pt>
                <c:pt idx="22">
                  <c:v>Movil de Entel S.A.  BO</c:v>
                </c:pt>
                <c:pt idx="23">
                  <c:v>Warid Telecom (Pvt ) Ltd</c:v>
                </c:pt>
                <c:pt idx="24">
                  <c:v>CYTAGSM CY</c:v>
                </c:pt>
                <c:pt idx="25">
                  <c:v>MOBILIS</c:v>
                </c:pt>
                <c:pt idx="26">
                  <c:v>MS_Bharti Punjab_IN</c:v>
                </c:pt>
                <c:pt idx="27">
                  <c:v>ANCEL  (ANTEL Celular) UY</c:v>
                </c:pt>
                <c:pt idx="28">
                  <c:v>COLOMBIA MOVIL</c:v>
                </c:pt>
                <c:pt idx="29">
                  <c:v>MCel Mozambique</c:v>
                </c:pt>
                <c:pt idx="30">
                  <c:v>MS_Bharti Karnataka_IN</c:v>
                </c:pt>
                <c:pt idx="31">
                  <c:v>Astelit UA</c:v>
                </c:pt>
                <c:pt idx="32">
                  <c:v>Digicel PNG</c:v>
                </c:pt>
                <c:pt idx="33">
                  <c:v>Mascom Wireless Gaborone BW</c:v>
                </c:pt>
                <c:pt idx="34">
                  <c:v>T-Mobile CG</c:v>
                </c:pt>
                <c:pt idx="35">
                  <c:v>Aircel Cellular Limited, Chennai</c:v>
                </c:pt>
                <c:pt idx="36">
                  <c:v>DIGITEL</c:v>
                </c:pt>
                <c:pt idx="37">
                  <c:v>Guangdong MCC CN</c:v>
                </c:pt>
                <c:pt idx="38">
                  <c:v>Venezuela-Movilnet</c:v>
                </c:pt>
                <c:pt idx="39">
                  <c:v>DIGICEL JM</c:v>
                </c:pt>
                <c:pt idx="40">
                  <c:v>Djibouti telecom</c:v>
                </c:pt>
                <c:pt idx="41">
                  <c:v>Jazztel ES</c:v>
                </c:pt>
                <c:pt idx="42">
                  <c:v>MS_HT-Mobile_VN</c:v>
                </c:pt>
                <c:pt idx="43">
                  <c:v>MSSI CU Customer CN</c:v>
                </c:pt>
                <c:pt idx="44">
                  <c:v>MTN Yemen</c:v>
                </c:pt>
                <c:pt idx="45">
                  <c:v>MTS / MR South RU</c:v>
                </c:pt>
                <c:pt idx="46">
                  <c:v>ONO ES</c:v>
                </c:pt>
                <c:pt idx="47">
                  <c:v>VODAFONE AL</c:v>
                </c:pt>
                <c:pt idx="48">
                  <c:v>CTM WCDMA MO</c:v>
                </c:pt>
                <c:pt idx="49">
                  <c:v>Eesti Telekom</c:v>
                </c:pt>
                <c:pt idx="50">
                  <c:v>MS_Bharti Mumbai_IN</c:v>
                </c:pt>
                <c:pt idx="51">
                  <c:v>MS_H3G_IT</c:v>
                </c:pt>
                <c:pt idx="52">
                  <c:v>MS_Telin_MSA</c:v>
                </c:pt>
                <c:pt idx="53">
                  <c:v>ORANGE ES</c:v>
                </c:pt>
                <c:pt idx="54">
                  <c:v>Phonero</c:v>
                </c:pt>
                <c:pt idx="55">
                  <c:v>Poste Mobile</c:v>
                </c:pt>
                <c:pt idx="56">
                  <c:v>Siminn</c:v>
                </c:pt>
              </c:strCache>
            </c:strRef>
          </c:cat>
          <c:val>
            <c:numRef>
              <c:f>Sheet1!$B$48:$B$104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3-4EE3-B22C-94217DD480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Sheet1!$P$46:$P$54</c:f>
              <c:strCache>
                <c:ptCount val="9"/>
                <c:pt idx="0">
                  <c:v>Linux Multiservice Proxy 5.2</c:v>
                </c:pt>
                <c:pt idx="1">
                  <c:v>Linux Multiservice Proxy 5.3</c:v>
                </c:pt>
                <c:pt idx="2">
                  <c:v>Linux Multiservice Proxy 6.0</c:v>
                </c:pt>
                <c:pt idx="3">
                  <c:v>Linux Multiservice Proxy 6.1</c:v>
                </c:pt>
                <c:pt idx="4">
                  <c:v>Linux Multiservice Proxy 7.0</c:v>
                </c:pt>
                <c:pt idx="5">
                  <c:v>Linux Multiservice Proxy 7.1</c:v>
                </c:pt>
                <c:pt idx="6">
                  <c:v>SUN MIEP 3.0</c:v>
                </c:pt>
                <c:pt idx="7">
                  <c:v>SUN MIEP 4.0</c:v>
                </c:pt>
                <c:pt idx="8">
                  <c:v>SUN Multiservice Proxy 5.2</c:v>
                </c:pt>
              </c:strCache>
            </c:strRef>
          </c:cat>
          <c:val>
            <c:numRef>
              <c:f>Sheet1!$Q$46:$Q$54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E3-439B-9FF7-1A6473B93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759552"/>
        <c:axId val="132761088"/>
      </c:barChart>
      <c:catAx>
        <c:axId val="132759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2761088"/>
        <c:crosses val="autoZero"/>
        <c:auto val="1"/>
        <c:lblAlgn val="ctr"/>
        <c:lblOffset val="100"/>
        <c:noMultiLvlLbl val="0"/>
      </c:catAx>
      <c:valAx>
        <c:axId val="13276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759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CSR inflow to Tier 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Sheet1!$P$1</c:f>
              <c:strCache>
                <c:ptCount val="1"/>
                <c:pt idx="0">
                  <c:v>CSR inflow towards Tier 2</c:v>
                </c:pt>
              </c:strCache>
            </c:strRef>
          </c:tx>
          <c:invertIfNegative val="0"/>
          <c:cat>
            <c:strRef>
              <c:f>Sheet1!$P$3:$P$14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Sheet1!$Q$3:$Q$14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E-47C4-AD46-10D0DC046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300992"/>
        <c:axId val="133302528"/>
      </c:barChart>
      <c:catAx>
        <c:axId val="133300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302528"/>
        <c:crosses val="autoZero"/>
        <c:auto val="1"/>
        <c:lblAlgn val="ctr"/>
        <c:lblOffset val="100"/>
        <c:noMultiLvlLbl val="0"/>
      </c:catAx>
      <c:valAx>
        <c:axId val="13330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300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Sheet1!$P$20:$P$21</c:f>
              <c:strCache>
                <c:ptCount val="2"/>
                <c:pt idx="0">
                  <c:v>CSR inflow handled by Tier 1</c:v>
                </c:pt>
                <c:pt idx="1">
                  <c:v>CSR inflow towards Tier 2</c:v>
                </c:pt>
              </c:strCache>
            </c:strRef>
          </c:cat>
          <c:val>
            <c:numRef>
              <c:f>Sheet1!$Q$20:$Q$21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3C-4BEF-A25D-78FEE9CA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Severity (2016)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Sheet1!$P$36:$P$39</c:f>
              <c:strCache>
                <c:ptCount val="4"/>
                <c:pt idx="0">
                  <c:v>Emergency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Sheet1!$Q$36:$Q$39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3-4B83-91D7-69F18CDDAD8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Sheet1!$P$63</c:f>
              <c:strCache>
                <c:ptCount val="1"/>
                <c:pt idx="0">
                  <c:v>Customer Region</c:v>
                </c:pt>
              </c:strCache>
            </c:strRef>
          </c:tx>
          <c:invertIfNegative val="0"/>
          <c:cat>
            <c:strRef>
              <c:f>Sheet1!$P$64:$P$73</c:f>
              <c:strCache>
                <c:ptCount val="10"/>
                <c:pt idx="0">
                  <c:v>RNAM</c:v>
                </c:pt>
                <c:pt idx="1">
                  <c:v>RASO</c:v>
                </c:pt>
                <c:pt idx="2">
                  <c:v>RECA</c:v>
                </c:pt>
                <c:pt idx="3">
                  <c:v>RINA</c:v>
                </c:pt>
                <c:pt idx="4">
                  <c:v>RLAM</c:v>
                </c:pt>
                <c:pt idx="5">
                  <c:v>RMEA</c:v>
                </c:pt>
                <c:pt idx="6">
                  <c:v>RMED</c:v>
                </c:pt>
                <c:pt idx="7">
                  <c:v>RNEA</c:v>
                </c:pt>
                <c:pt idx="8">
                  <c:v>RSSA</c:v>
                </c:pt>
                <c:pt idx="9">
                  <c:v>RWCE</c:v>
                </c:pt>
              </c:strCache>
            </c:strRef>
          </c:cat>
          <c:val>
            <c:numRef>
              <c:f>Sheet1!$Q$64:$Q$73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5-4F1E-AE04-94E62D678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441792"/>
        <c:axId val="133447680"/>
      </c:barChart>
      <c:catAx>
        <c:axId val="133441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447680"/>
        <c:crosses val="autoZero"/>
        <c:auto val="1"/>
        <c:lblAlgn val="ctr"/>
        <c:lblOffset val="100"/>
        <c:noMultiLvlLbl val="0"/>
      </c:catAx>
      <c:valAx>
        <c:axId val="13344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441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/>
              <a:t>CSRs per version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Sheet1!$Z$46:$Z$49</c:f>
              <c:strCache>
                <c:ptCount val="4"/>
                <c:pt idx="0">
                  <c:v>&lt;= MSP 6.0</c:v>
                </c:pt>
                <c:pt idx="1">
                  <c:v>MSP 6.1</c:v>
                </c:pt>
                <c:pt idx="2">
                  <c:v>MSP 7.0</c:v>
                </c:pt>
                <c:pt idx="3">
                  <c:v>MSP 7.1</c:v>
                </c:pt>
              </c:strCache>
            </c:strRef>
          </c:cat>
          <c:val>
            <c:numRef>
              <c:f>Sheet1!$AA$46:$AA$49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5-46A2-825A-02197E3E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459328"/>
        <c:axId val="133477504"/>
      </c:barChart>
      <c:catAx>
        <c:axId val="13345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477504"/>
        <c:crosses val="autoZero"/>
        <c:auto val="1"/>
        <c:lblAlgn val="ctr"/>
        <c:lblOffset val="100"/>
        <c:noMultiLvlLbl val="0"/>
      </c:catAx>
      <c:valAx>
        <c:axId val="13347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45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76200</xdr:rowOff>
        </xdr:from>
        <xdr:to>
          <xdr:col>3</xdr:col>
          <xdr:colOff>9525</xdr:colOff>
          <xdr:row>2</xdr:row>
          <xdr:rowOff>19050</xdr:rowOff>
        </xdr:to>
        <xdr:sp macro="" textlink="">
          <xdr:nvSpPr>
            <xdr:cNvPr id="2054" name="openFil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</xdr:row>
          <xdr:rowOff>114300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2055" name="CleanContent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</xdr:row>
          <xdr:rowOff>95250</xdr:rowOff>
        </xdr:from>
        <xdr:to>
          <xdr:col>3</xdr:col>
          <xdr:colOff>0</xdr:colOff>
          <xdr:row>10</xdr:row>
          <xdr:rowOff>19050</xdr:rowOff>
        </xdr:to>
        <xdr:sp macro="" textlink="">
          <xdr:nvSpPr>
            <xdr:cNvPr id="2057" name="CopyData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95250</xdr:rowOff>
        </xdr:from>
        <xdr:to>
          <xdr:col>3</xdr:col>
          <xdr:colOff>19050</xdr:colOff>
          <xdr:row>14</xdr:row>
          <xdr:rowOff>19050</xdr:rowOff>
        </xdr:to>
        <xdr:sp macro="" textlink="">
          <xdr:nvSpPr>
            <xdr:cNvPr id="2058" name="InflowDat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17</xdr:row>
          <xdr:rowOff>133350</xdr:rowOff>
        </xdr:from>
        <xdr:to>
          <xdr:col>3</xdr:col>
          <xdr:colOff>295275</xdr:colOff>
          <xdr:row>19</xdr:row>
          <xdr:rowOff>57150</xdr:rowOff>
        </xdr:to>
        <xdr:sp macro="" textlink="">
          <xdr:nvSpPr>
            <xdr:cNvPr id="2059" name="Statistic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21</xdr:row>
          <xdr:rowOff>152400</xdr:rowOff>
        </xdr:from>
        <xdr:to>
          <xdr:col>3</xdr:col>
          <xdr:colOff>523875</xdr:colOff>
          <xdr:row>23</xdr:row>
          <xdr:rowOff>76200</xdr:rowOff>
        </xdr:to>
        <xdr:sp macro="" textlink="">
          <xdr:nvSpPr>
            <xdr:cNvPr id="2063" name="Customer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419105</xdr:colOff>
      <xdr:row>1</xdr:row>
      <xdr:rowOff>38099</xdr:rowOff>
    </xdr:from>
    <xdr:to>
      <xdr:col>28</xdr:col>
      <xdr:colOff>523875</xdr:colOff>
      <xdr:row>28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247656</xdr:colOff>
      <xdr:row>27</xdr:row>
      <xdr:rowOff>180975</xdr:rowOff>
    </xdr:from>
    <xdr:to>
      <xdr:col>31</xdr:col>
      <xdr:colOff>28575</xdr:colOff>
      <xdr:row>36</xdr:row>
      <xdr:rowOff>52385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471487</xdr:colOff>
      <xdr:row>23</xdr:row>
      <xdr:rowOff>128587</xdr:rowOff>
    </xdr:from>
    <xdr:to>
      <xdr:col>11</xdr:col>
      <xdr:colOff>414337</xdr:colOff>
      <xdr:row>38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409581</xdr:colOff>
      <xdr:row>24</xdr:row>
      <xdr:rowOff>42862</xdr:rowOff>
    </xdr:from>
    <xdr:to>
      <xdr:col>20</xdr:col>
      <xdr:colOff>295281</xdr:colOff>
      <xdr:row>38</xdr:row>
      <xdr:rowOff>119062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28575</xdr:rowOff>
        </xdr:from>
        <xdr:to>
          <xdr:col>7</xdr:col>
          <xdr:colOff>533400</xdr:colOff>
          <xdr:row>25</xdr:row>
          <xdr:rowOff>38100</xdr:rowOff>
        </xdr:to>
        <xdr:sp macro="" textlink="">
          <xdr:nvSpPr>
            <xdr:cNvPr id="10241" name="CLICK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595311</xdr:colOff>
      <xdr:row>1</xdr:row>
      <xdr:rowOff>14287</xdr:rowOff>
    </xdr:from>
    <xdr:to>
      <xdr:col>11</xdr:col>
      <xdr:colOff>485774</xdr:colOff>
      <xdr:row>13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</xdr:colOff>
      <xdr:row>15</xdr:row>
      <xdr:rowOff>28575</xdr:rowOff>
    </xdr:from>
    <xdr:to>
      <xdr:col>14</xdr:col>
      <xdr:colOff>142875</xdr:colOff>
      <xdr:row>44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566738</xdr:colOff>
      <xdr:row>44</xdr:row>
      <xdr:rowOff>171450</xdr:rowOff>
    </xdr:from>
    <xdr:to>
      <xdr:col>14</xdr:col>
      <xdr:colOff>171450</xdr:colOff>
      <xdr:row>123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595312</xdr:colOff>
      <xdr:row>45</xdr:row>
      <xdr:rowOff>0</xdr:rowOff>
    </xdr:from>
    <xdr:to>
      <xdr:col>24</xdr:col>
      <xdr:colOff>266700</xdr:colOff>
      <xdr:row>59</xdr:row>
      <xdr:rowOff>9526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300037</xdr:colOff>
      <xdr:row>1</xdr:row>
      <xdr:rowOff>19050</xdr:rowOff>
    </xdr:from>
    <xdr:to>
      <xdr:col>25</xdr:col>
      <xdr:colOff>604837</xdr:colOff>
      <xdr:row>15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323850</xdr:colOff>
      <xdr:row>16</xdr:row>
      <xdr:rowOff>47624</xdr:rowOff>
    </xdr:from>
    <xdr:to>
      <xdr:col>22</xdr:col>
      <xdr:colOff>404812</xdr:colOff>
      <xdr:row>26</xdr:row>
      <xdr:rowOff>133349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339725</xdr:colOff>
      <xdr:row>31</xdr:row>
      <xdr:rowOff>180974</xdr:rowOff>
    </xdr:from>
    <xdr:to>
      <xdr:col>24</xdr:col>
      <xdr:colOff>71437</xdr:colOff>
      <xdr:row>42</xdr:row>
      <xdr:rowOff>119061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60</xdr:row>
      <xdr:rowOff>23812</xdr:rowOff>
    </xdr:from>
    <xdr:to>
      <xdr:col>27</xdr:col>
      <xdr:colOff>9525</xdr:colOff>
      <xdr:row>73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161925</xdr:colOff>
      <xdr:row>44</xdr:row>
      <xdr:rowOff>23812</xdr:rowOff>
    </xdr:from>
    <xdr:to>
      <xdr:col>34</xdr:col>
      <xdr:colOff>466725</xdr:colOff>
      <xdr:row>58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shan Chao" refreshedDate="42535.630953935186" createdVersion="4" refreshedVersion="4" minRefreshableVersion="3" recordCount="289">
  <cacheSource type="worksheet">
    <worksheetSource name="Table1"/>
  </cacheSource>
  <cacheFields count="29">
    <cacheField name="CSR Number" numFmtId="0">
      <sharedItems containsBlank="1"/>
    </cacheField>
    <cacheField name="CSR Type" numFmtId="0">
      <sharedItems containsBlank="1" count="5">
        <s v="Problem"/>
        <s v="Project"/>
        <s v="Internal"/>
        <s v="Consultation"/>
        <m/>
      </sharedItems>
    </cacheField>
    <cacheField name="Severity" numFmtId="0">
      <sharedItems containsBlank="1"/>
    </cacheField>
    <cacheField name="Customer" numFmtId="0">
      <sharedItems containsBlank="1" count="10">
        <s v="Verizon Wireless Midwest"/>
        <s v="Verizon Wireless HQ"/>
        <s v="AT&amp;T Mobility WE"/>
        <s v="Telefonica ES"/>
        <s v="Telstra Mobility (AU)"/>
        <s v="Telecom Italia"/>
        <s v="Germany INTERNAL"/>
        <s v="T-Mobile Lab"/>
        <s v="TIM/Test Plant BR"/>
        <m/>
      </sharedItems>
    </cacheField>
    <cacheField name="Customer Region" numFmtId="0">
      <sharedItems containsBlank="1"/>
    </cacheField>
    <cacheField name="Node Type" numFmtId="0">
      <sharedItems containsBlank="1"/>
    </cacheField>
    <cacheField name="Node" numFmtId="0">
      <sharedItems containsBlank="1" count="8">
        <s v="Linux Broadcast Management Center 13B"/>
        <s v="Linux Broadcast Delivery Center 13B"/>
        <s v="Linux Broadcast Management Center 14A"/>
        <s v="Linux Broadcast Delivery Center 14A"/>
        <s v="Linux Broadcast Delivery Center 15A"/>
        <s v="Linux Broadcast Management Center 15A"/>
        <s v="Linux Broadcast Management Center 15B"/>
        <m/>
      </sharedItems>
    </cacheField>
    <cacheField name="Hot CSR" numFmtId="0">
      <sharedItems containsBlank="1"/>
    </cacheField>
    <cacheField name="GS LEROU" numFmtId="0">
      <sharedItems containsBlank="1" count="4">
        <s v="Not assigned"/>
        <s v="TV_G/MOTV"/>
        <s v="GGFO"/>
        <m/>
      </sharedItems>
    </cacheField>
    <cacheField name="GS LEER" numFmtId="0">
      <sharedItems containsBlank="1"/>
    </cacheField>
    <cacheField name="TR Number" numFmtId="0">
      <sharedItems containsBlank="1"/>
    </cacheField>
    <cacheField name="Last Status" numFmtId="0">
      <sharedItems containsBlank="1"/>
    </cacheField>
    <cacheField name="Date: Created" numFmtId="0">
      <sharedItems containsNonDate="0" containsDate="1" containsString="0" containsBlank="1" minDate="2014-08-04T00:00:00" maxDate="2016-06-10T00:00:00" count="174">
        <d v="2014-08-04T00:00:00"/>
        <d v="2014-08-05T00:00:00"/>
        <d v="2014-08-21T00:00:00"/>
        <d v="2014-08-28T00:00:00"/>
        <d v="2014-09-15T00:00:00"/>
        <d v="2014-09-18T00:00:00"/>
        <d v="2014-09-24T00:00:00"/>
        <d v="2014-09-26T00:00:00"/>
        <d v="2014-09-29T00:00:00"/>
        <d v="2014-10-01T00:00:00"/>
        <d v="2014-10-07T00:00:00"/>
        <d v="2014-10-08T00:00:00"/>
        <d v="2014-10-10T00:00:00"/>
        <d v="2014-10-13T00:00:00"/>
        <d v="2014-10-23T00:00:00"/>
        <d v="2014-10-27T00:00:00"/>
        <d v="2014-10-30T00:00:00"/>
        <d v="2014-11-05T00:00:00"/>
        <d v="2014-11-19T00:00:00"/>
        <d v="2014-11-21T00:00:00"/>
        <d v="2014-12-02T00:00:00"/>
        <d v="2014-12-22T00:00:00"/>
        <d v="2015-01-12T00:00:00"/>
        <d v="2015-01-21T00:00:00"/>
        <d v="2015-01-27T00:00:00"/>
        <d v="2015-01-28T00:00:00"/>
        <d v="2015-02-05T00:00:00"/>
        <d v="2015-02-13T00:00:00"/>
        <d v="2015-03-05T00:00:00"/>
        <d v="2015-03-13T00:00:00"/>
        <d v="2015-03-20T00:00:00"/>
        <d v="2015-03-23T00:00:00"/>
        <d v="2015-03-26T00:00:00"/>
        <d v="2015-04-02T00:00:00"/>
        <d v="2015-04-07T00:00:00"/>
        <d v="2015-04-09T00:00:00"/>
        <d v="2015-04-14T00:00:00"/>
        <d v="2015-04-15T00:00:00"/>
        <d v="2015-04-17T00:00:00"/>
        <d v="2015-04-19T00:00:00"/>
        <d v="2015-04-22T00:00:00"/>
        <d v="2015-04-27T00:00:00"/>
        <d v="2015-04-29T00:00:00"/>
        <d v="2015-05-05T00:00:00"/>
        <d v="2015-05-11T00:00:00"/>
        <d v="2015-05-20T00:00:00"/>
        <d v="2015-05-21T00:00:00"/>
        <d v="2015-05-28T00:00:00"/>
        <d v="2015-06-01T00:00:00"/>
        <d v="2015-06-03T00:00:00"/>
        <d v="2015-06-10T00:00:00"/>
        <d v="2015-06-11T00:00:00"/>
        <d v="2015-06-15T00:00:00"/>
        <d v="2015-06-16T00:00:00"/>
        <d v="2015-06-18T00:00:00"/>
        <d v="2015-06-19T00:00:00"/>
        <d v="2015-06-25T00:00:00"/>
        <d v="2015-06-26T00:00:00"/>
        <d v="2015-06-29T00:00:00"/>
        <d v="2015-07-02T00:00:00"/>
        <d v="2015-07-06T00:00:00"/>
        <d v="2015-07-13T00:00:00"/>
        <d v="2015-07-15T00:00:00"/>
        <d v="2015-07-23T00:00:00"/>
        <d v="2015-08-04T00:00:00"/>
        <d v="2015-08-11T00:00:00"/>
        <d v="2015-08-12T00:00:00"/>
        <d v="2015-08-18T00:00:00"/>
        <d v="2015-08-20T00:00:00"/>
        <d v="2015-08-24T00:00:00"/>
        <d v="2015-08-27T00:00:00"/>
        <d v="2015-09-01T00:00:00"/>
        <d v="2015-09-05T00:00:00"/>
        <d v="2015-09-10T00:00:00"/>
        <d v="2015-09-15T00:00:00"/>
        <d v="2015-09-21T00:00:00"/>
        <d v="2015-09-23T00:00:00"/>
        <d v="2015-09-24T00:00:00"/>
        <d v="2015-09-28T00:00:00"/>
        <d v="2015-09-29T00:00:00"/>
        <d v="2015-10-01T00:00:00"/>
        <d v="2015-10-03T00:00:00"/>
        <d v="2015-10-07T00:00:00"/>
        <d v="2015-10-09T00:00:00"/>
        <d v="2015-10-13T00:00:00"/>
        <d v="2015-10-19T00:00:00"/>
        <d v="2015-10-20T00:00:00"/>
        <d v="2015-10-23T00:00:00"/>
        <d v="2015-10-24T00:00:00"/>
        <d v="2015-10-26T00:00:00"/>
        <d v="2015-10-27T00:00:00"/>
        <d v="2015-10-30T00:00:00"/>
        <d v="2015-11-06T00:00:00"/>
        <d v="2015-11-08T00:00:00"/>
        <d v="2015-11-09T00:00:00"/>
        <d v="2015-11-11T00:00:00"/>
        <d v="2015-11-12T00:00:00"/>
        <d v="2015-11-13T00:00:00"/>
        <d v="2015-11-16T00:00:00"/>
        <d v="2015-11-25T00:00:00"/>
        <d v="2015-12-02T00:00:00"/>
        <d v="2015-12-03T00:00:00"/>
        <d v="2015-12-04T00:00:00"/>
        <d v="2015-12-09T00:00:00"/>
        <d v="2015-12-14T00:00:00"/>
        <d v="2015-12-15T00:00:00"/>
        <d v="2015-12-17T00:00:00"/>
        <d v="2015-12-21T00:00:00"/>
        <d v="2015-12-29T00:00:00"/>
        <d v="2015-12-30T00:00:00"/>
        <d v="2016-01-08T00:00:00"/>
        <d v="2016-01-14T00:00:00"/>
        <d v="2016-01-18T00:00:00"/>
        <d v="2016-01-22T00:00:00"/>
        <d v="2016-01-25T00:00:00"/>
        <d v="2016-01-27T00:00:00"/>
        <d v="2016-02-02T00:00:00"/>
        <d v="2016-02-08T00:00:00"/>
        <d v="2016-02-09T00:00:00"/>
        <d v="2016-02-11T00:00:00"/>
        <d v="2016-02-12T00:00:00"/>
        <d v="2016-02-15T00:00:00"/>
        <d v="2016-02-16T00:00:00"/>
        <d v="2016-02-17T00:00:00"/>
        <d v="2016-02-24T00:00:00"/>
        <d v="2016-02-25T00:00:00"/>
        <d v="2016-02-28T00:00:00"/>
        <d v="2016-03-04T00:00:00"/>
        <d v="2016-03-09T00:00:00"/>
        <d v="2016-03-15T00:00:00"/>
        <d v="2016-03-16T00:00:00"/>
        <d v="2016-03-17T00:00:00"/>
        <d v="2016-03-21T00:00:00"/>
        <d v="2016-03-22T00:00:00"/>
        <d v="2016-03-23T00:00:00"/>
        <d v="2016-03-24T00:00:00"/>
        <d v="2016-03-25T00:00:00"/>
        <d v="2016-03-28T00:00:00"/>
        <d v="2016-03-31T00:00:00"/>
        <d v="2016-04-01T00:00:00"/>
        <d v="2016-04-04T00:00:00"/>
        <d v="2016-04-05T00:00:00"/>
        <d v="2016-04-07T00:00:00"/>
        <d v="2016-04-11T00:00:00"/>
        <d v="2016-04-12T00:00:00"/>
        <d v="2016-04-13T00:00:00"/>
        <d v="2016-04-20T00:00:00"/>
        <d v="2016-04-21T00:00:00"/>
        <d v="2016-04-22T00:00:00"/>
        <d v="2016-04-23T00:00:00"/>
        <d v="2016-04-26T00:00:00"/>
        <d v="2016-04-27T00:00:00"/>
        <d v="2016-04-29T00:00:00"/>
        <d v="2016-05-03T00:00:00"/>
        <d v="2016-05-06T00:00:00"/>
        <d v="2016-05-10T00:00:00"/>
        <d v="2016-05-11T00:00:00"/>
        <d v="2016-05-12T00:00:00"/>
        <d v="2016-05-13T00:00:00"/>
        <d v="2016-05-16T00:00:00"/>
        <d v="2016-05-20T00:00:00"/>
        <d v="2016-05-23T00:00:00"/>
        <d v="2016-05-24T00:00:00"/>
        <d v="2016-05-25T00:00:00"/>
        <d v="2016-05-26T00:00:00"/>
        <d v="2016-05-31T00:00:00"/>
        <d v="2016-06-01T00:00:00"/>
        <d v="2016-06-02T00:00:00"/>
        <d v="2016-06-03T00:00:00"/>
        <d v="2016-06-04T00:00:00"/>
        <d v="2016-06-06T00:00:00"/>
        <d v="2016-06-07T00:00:00"/>
        <d v="2016-06-09T00:00:00"/>
        <m/>
      </sharedItems>
      <fieldGroup par="28" base="12">
        <rangePr groupBy="months" startDate="2014-08-04T00:00:00" endDate="2016-06-10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0/2016"/>
        </groupItems>
      </fieldGroup>
    </cacheField>
    <cacheField name="Date: First LS-&gt;GS" numFmtId="0">
      <sharedItems containsNonDate="0" containsDate="1" containsString="0" containsBlank="1" minDate="2014-08-05T00:00:00" maxDate="2016-06-10T00:00:00"/>
    </cacheField>
    <cacheField name="Date: Last GS-&gt;LS" numFmtId="0">
      <sharedItems containsNonDate="0" containsDate="1" containsString="0" containsBlank="1" minDate="2014-08-05T00:00:00" maxDate="2016-06-10T00:00:00"/>
    </cacheField>
    <cacheField name="Cause Code" numFmtId="0">
      <sharedItems containsBlank="1" count="22">
        <s v="CNF No Fault - Working as designed"/>
        <s v="EDF Docs/Procedures - Inadequate/Outdate"/>
        <s v="COS Outside Scope Other Vendor Faults"/>
        <s v="ECF Ericsson Configuration Fault"/>
        <s v="CIC Customer Insufficient Competence"/>
        <s v="CSN Available Solution Not Implemented"/>
        <s v="ESF Confirmed Software Fault"/>
        <s v="ESP Software Package Quality"/>
        <s v="EPR Ineffective Automatic Node Recovery"/>
        <s v="CPH Customer Process Handling Error"/>
        <s v="ONC Other - No Applicable Code"/>
        <s v="EHF Faulty HW"/>
        <s v="CCF Customer Configuration Fault"/>
        <s v="EPH Ericsson Process Handling Error"/>
        <s v="ONR Not Reproduceable Problem"/>
        <s v="CDU Duplicate Customer CSR"/>
        <s v="CSM Insufficient System Maintenance"/>
        <s v="CCP Customer Capacity Problem"/>
        <s v="OID Insufficient / No Data Received"/>
        <s v="Not assigned"/>
        <s v="EHD Confirmed Hardware Design Fault"/>
        <m/>
      </sharedItems>
    </cacheField>
    <cacheField name="CSR [Vol]" numFmtId="0">
      <sharedItems containsString="0" containsBlank="1" containsNumber="1" containsInteger="1" minValue="1" maxValue="1"/>
    </cacheField>
    <cacheField name="Duration [Days]" numFmtId="0">
      <sharedItems containsString="0" containsBlank="1" containsNumber="1" minValue="1.4004629629629599E-3" maxValue="305.366863425926"/>
    </cacheField>
    <cacheField name="Duration incl Wait Time [Days]" numFmtId="0">
      <sharedItems containsString="0" containsBlank="1" containsNumber="1" minValue="4.3368055555555597E-2" maxValue="400.93469907407399"/>
    </cacheField>
    <cacheField name="IA Prov [Vol]" numFmtId="0">
      <sharedItems containsString="0" containsBlank="1" containsNumber="1" containsInteger="1" minValue="0" maxValue="1"/>
    </cacheField>
    <cacheField name="RST Prov [Vol]" numFmtId="0">
      <sharedItems containsString="0" containsBlank="1" containsNumber="1" containsInteger="1" minValue="0" maxValue="1"/>
    </cacheField>
    <cacheField name="RST Prov [Days]" numFmtId="0">
      <sharedItems containsString="0" containsBlank="1" containsNumber="1" minValue="0" maxValue="146.828553240741"/>
    </cacheField>
    <cacheField name="RST Tgt [Days]" numFmtId="0">
      <sharedItems containsString="0" containsBlank="1" containsNumber="1" containsInteger="1" minValue="3" maxValue="366"/>
    </cacheField>
    <cacheField name="Total Hours [Hrs]" numFmtId="0">
      <sharedItems containsString="0" containsBlank="1" containsNumber="1" minValue="0" maxValue="71.5"/>
    </cacheField>
    <cacheField name="LS Hours [Hrs]" numFmtId="0">
      <sharedItems containsString="0" containsBlank="1" containsNumber="1" minValue="0" maxValue="42.25"/>
    </cacheField>
    <cacheField name="GS Hours [Hrs]" numFmtId="0">
      <sharedItems containsString="0" containsBlank="1" containsNumber="1" minValue="0" maxValue="68"/>
    </cacheField>
    <cacheField name="RST Prov on Tgt [Vol]" numFmtId="0">
      <sharedItems containsString="0" containsBlank="1" containsNumber="1" containsInteger="1" minValue="0" maxValue="1"/>
    </cacheField>
    <cacheField name="Helper" numFmtId="0">
      <sharedItems containsNonDate="0" containsString="0" containsBlank="1"/>
    </cacheField>
    <cacheField name="Years" numFmtId="0" databaseField="0">
      <fieldGroup base="12">
        <rangePr groupBy="years" startDate="2014-08-04T00:00:00" endDate="2016-06-10T00:00:00"/>
        <groupItems count="5">
          <s v="&lt;8/4/2014"/>
          <s v="2014"/>
          <s v="2015"/>
          <s v="2016"/>
          <s v="&gt;6/10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s v="0002571935"/>
    <x v="0"/>
    <s v="Medium"/>
    <x v="0"/>
    <s v="RNAM"/>
    <s v="LINUX BROADCAST MANAGEMENT CENTER"/>
    <x v="0"/>
    <s v="#/#"/>
    <x v="0"/>
    <s v="Not assigned"/>
    <s v="#"/>
    <s v="Finished"/>
    <x v="0"/>
    <m/>
    <m/>
    <x v="0"/>
    <n v="1"/>
    <n v="4.1008217592592597"/>
    <n v="4.1008217592592597"/>
    <n v="0"/>
    <n v="1"/>
    <n v="1.3312152777777799"/>
    <n v="56"/>
    <n v="1"/>
    <n v="1"/>
    <n v="0"/>
    <n v="1"/>
    <m/>
  </r>
  <r>
    <s v="0002572753"/>
    <x v="0"/>
    <s v="Emergency"/>
    <x v="0"/>
    <s v="RNAM"/>
    <s v="LINUX BROADCAST DELIVERY CENTER"/>
    <x v="1"/>
    <s v="#/#"/>
    <x v="1"/>
    <s v="Not assigned"/>
    <s v="#"/>
    <s v="Finished"/>
    <x v="1"/>
    <d v="2014-08-05T00:00:00"/>
    <d v="2014-08-05T00:00:00"/>
    <x v="0"/>
    <n v="1"/>
    <n v="4.3368055555555597E-2"/>
    <n v="4.3368055555555597E-2"/>
    <n v="0"/>
    <n v="1"/>
    <n v="1.7986111111111099E-2"/>
    <n v="3"/>
    <n v="8"/>
    <n v="8"/>
    <n v="0"/>
    <n v="1"/>
    <m/>
  </r>
  <r>
    <s v="0002583426"/>
    <x v="0"/>
    <s v="Low"/>
    <x v="1"/>
    <s v="RNAM"/>
    <s v="LINUX BROADCAST MANAGEMENT CENTER"/>
    <x v="0"/>
    <s v="#/#"/>
    <x v="0"/>
    <s v="Not assigned"/>
    <s v="#"/>
    <s v="Finished"/>
    <x v="2"/>
    <m/>
    <m/>
    <x v="1"/>
    <n v="1"/>
    <n v="18.148923611111101"/>
    <n v="18.148923611111101"/>
    <n v="0"/>
    <n v="1"/>
    <n v="5.33864583333333"/>
    <n v="140"/>
    <n v="3.25"/>
    <n v="3.25"/>
    <n v="0"/>
    <n v="1"/>
    <m/>
  </r>
  <r>
    <s v="0002583427"/>
    <x v="0"/>
    <s v="Low"/>
    <x v="1"/>
    <s v="RNAM"/>
    <s v="LINUX BROADCAST MANAGEMENT CENTER"/>
    <x v="0"/>
    <s v="#/#"/>
    <x v="0"/>
    <s v="Not assigned"/>
    <s v="#"/>
    <s v="Finished"/>
    <x v="2"/>
    <m/>
    <m/>
    <x v="0"/>
    <n v="1"/>
    <n v="26.090347222222199"/>
    <n v="26.090347222222199"/>
    <n v="0"/>
    <n v="1"/>
    <n v="21.326226851851899"/>
    <n v="140"/>
    <n v="2"/>
    <n v="2"/>
    <n v="0"/>
    <n v="1"/>
    <m/>
  </r>
  <r>
    <s v="0002583674"/>
    <x v="0"/>
    <s v="Low"/>
    <x v="1"/>
    <s v="RNAM"/>
    <s v="LINUX BROADCAST MANAGEMENT CENTER"/>
    <x v="2"/>
    <s v="#/#"/>
    <x v="0"/>
    <s v="Not assigned"/>
    <s v="#"/>
    <s v="Finished"/>
    <x v="2"/>
    <m/>
    <m/>
    <x v="2"/>
    <n v="1"/>
    <n v="5.0590162037036999"/>
    <n v="5.0590162037036999"/>
    <n v="0"/>
    <n v="1"/>
    <n v="5.0578819444444401"/>
    <n v="140"/>
    <n v="20.25"/>
    <n v="20.25"/>
    <n v="0"/>
    <n v="1"/>
    <m/>
  </r>
  <r>
    <s v="0002588841"/>
    <x v="1"/>
    <s v="High"/>
    <x v="2"/>
    <s v="RNAM"/>
    <s v="LINUX BROADCAST MANAGEMENT CENTER"/>
    <x v="0"/>
    <s v="#/#"/>
    <x v="1"/>
    <s v="EJJEWWN"/>
    <s v="#"/>
    <s v="Finished"/>
    <x v="3"/>
    <d v="2014-09-02T00:00:00"/>
    <d v="2014-09-04T00:00:00"/>
    <x v="3"/>
    <n v="1"/>
    <n v="26.813009259259299"/>
    <n v="26.813009259259299"/>
    <n v="1"/>
    <n v="1"/>
    <n v="24.999224537037001"/>
    <n v="28"/>
    <n v="20.75"/>
    <n v="0.75"/>
    <n v="20"/>
    <n v="1"/>
    <m/>
  </r>
  <r>
    <s v="0002600687"/>
    <x v="2"/>
    <s v="Low"/>
    <x v="1"/>
    <s v="RNAM"/>
    <s v="LINUX BROADCAST MANAGEMENT CENTER"/>
    <x v="0"/>
    <s v="#/#"/>
    <x v="0"/>
    <s v="Not assigned"/>
    <s v="#"/>
    <s v="Finished"/>
    <x v="4"/>
    <m/>
    <m/>
    <x v="3"/>
    <n v="1"/>
    <n v="34.783657407407397"/>
    <n v="34.783657407407397"/>
    <n v="0"/>
    <n v="1"/>
    <n v="31.983958333333302"/>
    <n v="140"/>
    <n v="2.5"/>
    <n v="2.5"/>
    <n v="0"/>
    <n v="1"/>
    <m/>
  </r>
  <r>
    <s v="0002603251"/>
    <x v="0"/>
    <s v="Medium"/>
    <x v="1"/>
    <s v="RNAM"/>
    <s v="LINUX BROADCAST MANAGEMENT CENTER"/>
    <x v="2"/>
    <s v="#/#"/>
    <x v="0"/>
    <s v="Not assigned"/>
    <s v="#"/>
    <s v="Finished"/>
    <x v="5"/>
    <m/>
    <m/>
    <x v="0"/>
    <n v="1"/>
    <n v="49.262812500000003"/>
    <n v="49.262812500000003"/>
    <n v="0"/>
    <n v="1"/>
    <n v="11.096446759259299"/>
    <n v="56"/>
    <n v="14.5"/>
    <n v="14.5"/>
    <n v="0"/>
    <n v="1"/>
    <m/>
  </r>
  <r>
    <s v="0002607332"/>
    <x v="1"/>
    <s v="Low"/>
    <x v="1"/>
    <s v="RNAM"/>
    <s v="LINUX BROADCAST DELIVERY CENTER"/>
    <x v="3"/>
    <s v="#/#"/>
    <x v="1"/>
    <s v="ELINKEE"/>
    <s v="#"/>
    <s v="Finished"/>
    <x v="6"/>
    <d v="2014-10-11T00:00:00"/>
    <d v="2014-10-13T00:00:00"/>
    <x v="4"/>
    <n v="1"/>
    <n v="13.434236111111099"/>
    <n v="30.173993055555599"/>
    <n v="1"/>
    <n v="1"/>
    <n v="13.4335416666667"/>
    <n v="140"/>
    <n v="9.5"/>
    <n v="1.5"/>
    <n v="8"/>
    <n v="1"/>
    <m/>
  </r>
  <r>
    <s v="0002610800"/>
    <x v="0"/>
    <s v="Medium"/>
    <x v="1"/>
    <s v="RNAM"/>
    <s v="LINUX BROADCAST MANAGEMENT CENTER"/>
    <x v="0"/>
    <s v="#/#"/>
    <x v="0"/>
    <s v="Not assigned"/>
    <s v="#"/>
    <s v="Finished"/>
    <x v="7"/>
    <m/>
    <m/>
    <x v="2"/>
    <n v="1"/>
    <n v="68.928634259259297"/>
    <n v="68.928634259259297"/>
    <n v="0"/>
    <n v="1"/>
    <n v="19.2076157407407"/>
    <n v="56"/>
    <n v="8"/>
    <n v="8"/>
    <n v="0"/>
    <n v="1"/>
    <m/>
  </r>
  <r>
    <s v="0002610801"/>
    <x v="0"/>
    <s v="Medium"/>
    <x v="1"/>
    <s v="RNAM"/>
    <s v="LINUX BROADCAST DELIVERY CENTER"/>
    <x v="1"/>
    <s v="#/#"/>
    <x v="0"/>
    <s v="Not assigned"/>
    <s v="#"/>
    <s v="Finished"/>
    <x v="7"/>
    <m/>
    <m/>
    <x v="2"/>
    <n v="1"/>
    <n v="68.925358796296294"/>
    <n v="68.925358796296294"/>
    <n v="0"/>
    <n v="1"/>
    <n v="19.203449074074101"/>
    <n v="56"/>
    <n v="4.75"/>
    <n v="4.75"/>
    <n v="0"/>
    <n v="1"/>
    <m/>
  </r>
  <r>
    <s v="0002611940"/>
    <x v="1"/>
    <s v="Medium"/>
    <x v="3"/>
    <s v="RMED"/>
    <s v="LINUX BROADCAST MANAGEMENT CENTER"/>
    <x v="2"/>
    <s v="#/#"/>
    <x v="1"/>
    <s v="ELINKEE"/>
    <s v="#"/>
    <s v="Finished"/>
    <x v="8"/>
    <d v="2014-09-29T00:00:00"/>
    <d v="2014-10-15T00:00:00"/>
    <x v="1"/>
    <n v="1"/>
    <n v="17.1016782407407"/>
    <n v="17.1016782407407"/>
    <n v="1"/>
    <n v="1"/>
    <n v="17.101041666666699"/>
    <n v="40"/>
    <n v="20.5"/>
    <n v="0.5"/>
    <n v="20"/>
    <n v="1"/>
    <m/>
  </r>
  <r>
    <s v="0002614226"/>
    <x v="3"/>
    <s v="Medium"/>
    <x v="1"/>
    <s v="RNAM"/>
    <s v="LINUX BROADCAST DELIVERY CENTER"/>
    <x v="1"/>
    <s v="#/#"/>
    <x v="0"/>
    <s v="Not assigned"/>
    <s v="#"/>
    <s v="Finished"/>
    <x v="9"/>
    <m/>
    <m/>
    <x v="1"/>
    <n v="1"/>
    <n v="61.325763888888901"/>
    <n v="61.325763888888901"/>
    <n v="0"/>
    <n v="1"/>
    <n v="42.237743055555597"/>
    <n v="56"/>
    <n v="42.25"/>
    <n v="42.25"/>
    <n v="0"/>
    <n v="1"/>
    <m/>
  </r>
  <r>
    <s v="0002617675"/>
    <x v="1"/>
    <s v="Medium"/>
    <x v="1"/>
    <s v="RNAM"/>
    <s v="LINUX BROADCAST MANAGEMENT CENTER"/>
    <x v="0"/>
    <s v="#/#"/>
    <x v="1"/>
    <s v="ELINKEE"/>
    <s v="#"/>
    <s v="Finished"/>
    <x v="10"/>
    <d v="2014-10-08T00:00:00"/>
    <d v="2014-10-13T00:00:00"/>
    <x v="5"/>
    <n v="1"/>
    <n v="6.2068055555555599"/>
    <n v="6.2068055555555599"/>
    <n v="1"/>
    <n v="1"/>
    <n v="6.2054745370370403"/>
    <n v="56"/>
    <n v="8.75"/>
    <n v="0.75"/>
    <n v="8"/>
    <n v="1"/>
    <m/>
  </r>
  <r>
    <s v="0002618621"/>
    <x v="0"/>
    <s v="Medium"/>
    <x v="1"/>
    <s v="RNAM"/>
    <s v="LINUX BROADCAST DELIVERY CENTER"/>
    <x v="1"/>
    <s v="#/#"/>
    <x v="1"/>
    <s v="EFENSHI"/>
    <s v="#"/>
    <s v="Finished"/>
    <x v="11"/>
    <d v="2014-10-08T00:00:00"/>
    <d v="2014-10-21T00:00:00"/>
    <x v="6"/>
    <n v="1"/>
    <n v="14.1230671296296"/>
    <n v="14.1230671296296"/>
    <n v="1"/>
    <n v="1"/>
    <n v="12.989537037037"/>
    <n v="56"/>
    <n v="25.75"/>
    <n v="5.75"/>
    <n v="20"/>
    <n v="1"/>
    <m/>
  </r>
  <r>
    <s v="0002619755"/>
    <x v="1"/>
    <s v="High"/>
    <x v="2"/>
    <s v="RNAM"/>
    <s v="LINUX BROADCAST MANAGEMENT CENTER"/>
    <x v="0"/>
    <s v="#/#"/>
    <x v="1"/>
    <s v="ELINKEE"/>
    <s v="#"/>
    <s v="Finished"/>
    <x v="12"/>
    <d v="2014-10-10T00:00:00"/>
    <d v="2014-10-13T00:00:00"/>
    <x v="6"/>
    <n v="1"/>
    <n v="10.7241550925926"/>
    <n v="10.7241550925926"/>
    <n v="1"/>
    <n v="1"/>
    <n v="7.8387268518518498"/>
    <n v="28"/>
    <n v="21"/>
    <n v="1"/>
    <n v="20"/>
    <n v="1"/>
    <m/>
  </r>
  <r>
    <s v="0002621855"/>
    <x v="1"/>
    <s v="Medium"/>
    <x v="1"/>
    <s v="RNAM"/>
    <s v="LINUX BROADCAST MANAGEMENT CENTER"/>
    <x v="0"/>
    <s v="#/#"/>
    <x v="1"/>
    <s v="EXUYUFE"/>
    <s v="HT14708"/>
    <s v="Finished"/>
    <x v="13"/>
    <d v="2014-10-13T00:00:00"/>
    <d v="2014-11-06T00:00:00"/>
    <x v="6"/>
    <n v="1"/>
    <n v="53.011608796296301"/>
    <n v="53.011608796296301"/>
    <n v="1"/>
    <n v="1"/>
    <n v="25.3032291666667"/>
    <n v="56"/>
    <n v="24.5"/>
    <n v="4.5"/>
    <n v="20"/>
    <n v="1"/>
    <m/>
  </r>
  <r>
    <s v="0002630275"/>
    <x v="0"/>
    <s v="Medium"/>
    <x v="1"/>
    <s v="RNAM"/>
    <s v="LINUX BROADCAST MANAGEMENT CENTER"/>
    <x v="2"/>
    <s v="#/#"/>
    <x v="1"/>
    <s v="ELINKEE"/>
    <s v="#"/>
    <s v="Finished"/>
    <x v="14"/>
    <d v="2014-10-23T00:00:00"/>
    <d v="2014-11-03T00:00:00"/>
    <x v="6"/>
    <n v="1"/>
    <n v="56.032129629629601"/>
    <n v="56.032129629629601"/>
    <n v="1"/>
    <n v="1"/>
    <n v="12.043252314814801"/>
    <n v="56"/>
    <n v="23.25"/>
    <n v="3.25"/>
    <n v="20"/>
    <n v="1"/>
    <m/>
  </r>
  <r>
    <s v="0002632655"/>
    <x v="0"/>
    <s v="Medium"/>
    <x v="1"/>
    <s v="RNAM"/>
    <s v="LINUX BROADCAST DELIVERY CENTER"/>
    <x v="1"/>
    <s v="#/#"/>
    <x v="1"/>
    <s v="EFENSHI"/>
    <s v="#"/>
    <s v="Finished"/>
    <x v="15"/>
    <d v="2014-10-27T00:00:00"/>
    <d v="2014-10-30T00:00:00"/>
    <x v="7"/>
    <n v="1"/>
    <n v="37.9296064814815"/>
    <n v="37.9296064814815"/>
    <n v="1"/>
    <n v="1"/>
    <n v="10.0549652777778"/>
    <n v="56"/>
    <n v="35"/>
    <n v="33"/>
    <n v="2"/>
    <n v="1"/>
    <m/>
  </r>
  <r>
    <s v="0002635715"/>
    <x v="1"/>
    <s v="Medium"/>
    <x v="1"/>
    <s v="RNAM"/>
    <s v="LINUX BROADCAST MANAGEMENT CENTER"/>
    <x v="2"/>
    <s v="#/#"/>
    <x v="1"/>
    <s v="ELINKEE"/>
    <s v="#"/>
    <s v="Finished"/>
    <x v="16"/>
    <d v="2014-10-30T00:00:00"/>
    <d v="2014-11-25T00:00:00"/>
    <x v="8"/>
    <n v="1"/>
    <n v="32.132314814814798"/>
    <n v="32.132314814814798"/>
    <n v="1"/>
    <n v="1"/>
    <n v="26.117280092592601"/>
    <n v="56"/>
    <n v="23.25"/>
    <n v="3.25"/>
    <n v="20"/>
    <n v="1"/>
    <m/>
  </r>
  <r>
    <s v="0002638950"/>
    <x v="1"/>
    <s v="High"/>
    <x v="2"/>
    <s v="RNAM"/>
    <s v="LINUX BROADCAST MANAGEMENT CENTER"/>
    <x v="0"/>
    <s v="#/#"/>
    <x v="1"/>
    <s v="ELINKEE"/>
    <s v="#"/>
    <s v="Finished"/>
    <x v="17"/>
    <d v="2014-11-05T00:00:00"/>
    <d v="2014-11-13T00:00:00"/>
    <x v="9"/>
    <n v="1"/>
    <n v="14.6726041666667"/>
    <n v="14.6726041666667"/>
    <n v="1"/>
    <n v="1"/>
    <n v="8.5672916666666694"/>
    <n v="28"/>
    <n v="22.25"/>
    <n v="2.25"/>
    <n v="20"/>
    <n v="1"/>
    <m/>
  </r>
  <r>
    <s v="0002650168"/>
    <x v="1"/>
    <s v="Medium"/>
    <x v="1"/>
    <s v="RNAM"/>
    <s v="LINUX BROADCAST MANAGEMENT CENTER"/>
    <x v="2"/>
    <s v="#/#"/>
    <x v="1"/>
    <s v="ELINKEE"/>
    <s v="#"/>
    <s v="Finished"/>
    <x v="18"/>
    <d v="2014-11-19T00:00:00"/>
    <d v="2014-11-28T00:00:00"/>
    <x v="6"/>
    <n v="1"/>
    <n v="11.8654861111111"/>
    <n v="11.8654861111111"/>
    <n v="1"/>
    <n v="1"/>
    <n v="11.8620949074074"/>
    <n v="56"/>
    <n v="20.75"/>
    <n v="0.75"/>
    <n v="20"/>
    <n v="1"/>
    <m/>
  </r>
  <r>
    <s v="0002651999"/>
    <x v="1"/>
    <s v="Medium"/>
    <x v="1"/>
    <s v="RNAM"/>
    <s v="LINUX BROADCAST MANAGEMENT CENTER"/>
    <x v="2"/>
    <s v="#/#"/>
    <x v="1"/>
    <s v="EXUYUFE"/>
    <s v="#"/>
    <s v="Finished"/>
    <x v="19"/>
    <d v="2014-11-22T00:00:00"/>
    <d v="2014-12-10T00:00:00"/>
    <x v="3"/>
    <n v="1"/>
    <n v="24.223599537037"/>
    <n v="24.223599537037"/>
    <n v="1"/>
    <n v="1"/>
    <n v="19.2819560185185"/>
    <n v="56"/>
    <n v="21.5"/>
    <n v="2.5"/>
    <n v="19"/>
    <n v="1"/>
    <m/>
  </r>
  <r>
    <s v="0002652001"/>
    <x v="1"/>
    <s v="Medium"/>
    <x v="1"/>
    <s v="RNAM"/>
    <s v="LINUX BROADCAST MANAGEMENT CENTER"/>
    <x v="2"/>
    <s v="#/#"/>
    <x v="1"/>
    <s v="EXUYUFE"/>
    <s v="#"/>
    <s v="Finished"/>
    <x v="19"/>
    <d v="2014-11-22T00:00:00"/>
    <d v="2014-12-10T00:00:00"/>
    <x v="3"/>
    <n v="1"/>
    <n v="24.2211226851852"/>
    <n v="24.2211226851852"/>
    <n v="1"/>
    <n v="1"/>
    <n v="20.084606481481501"/>
    <n v="56"/>
    <n v="21.25"/>
    <n v="2.25"/>
    <n v="19"/>
    <n v="1"/>
    <m/>
  </r>
  <r>
    <s v="0002658374"/>
    <x v="0"/>
    <s v="Low"/>
    <x v="1"/>
    <s v="RNAM"/>
    <s v="LINUX BROADCAST DELIVERY CENTER"/>
    <x v="3"/>
    <s v="#/#"/>
    <x v="0"/>
    <s v="Not assigned"/>
    <s v="#"/>
    <s v="Finished"/>
    <x v="20"/>
    <m/>
    <m/>
    <x v="0"/>
    <n v="1"/>
    <n v="17.820798611111101"/>
    <n v="17.820798611111101"/>
    <n v="0"/>
    <n v="1"/>
    <n v="8.6928935185185203"/>
    <n v="140"/>
    <n v="27.75"/>
    <n v="27.75"/>
    <n v="0"/>
    <n v="1"/>
    <m/>
  </r>
  <r>
    <s v="0002672851"/>
    <x v="1"/>
    <s v="Medium"/>
    <x v="1"/>
    <s v="RNAM"/>
    <s v="LINUX BROADCAST MANAGEMENT CENTER"/>
    <x v="2"/>
    <s v="#/#"/>
    <x v="1"/>
    <s v="EXUYUFE"/>
    <s v="#"/>
    <s v="Finished"/>
    <x v="21"/>
    <d v="2014-12-22T00:00:00"/>
    <d v="2015-01-14T00:00:00"/>
    <x v="4"/>
    <n v="1"/>
    <n v="32.258715277777803"/>
    <n v="32.258715277777803"/>
    <n v="1"/>
    <n v="1"/>
    <n v="30.0138078703704"/>
    <n v="56"/>
    <n v="21.5"/>
    <n v="1.5"/>
    <n v="20"/>
    <n v="1"/>
    <m/>
  </r>
  <r>
    <s v="0002683275"/>
    <x v="1"/>
    <s v="Medium"/>
    <x v="1"/>
    <s v="RNAM"/>
    <s v="LINUX BROADCAST DELIVERY CENTER"/>
    <x v="3"/>
    <s v="#/#"/>
    <x v="1"/>
    <s v="EXUYUFE"/>
    <s v="HT41982"/>
    <s v="Finished"/>
    <x v="22"/>
    <d v="2015-01-12T00:00:00"/>
    <d v="2015-02-03T00:00:00"/>
    <x v="6"/>
    <n v="1"/>
    <n v="23.1926736111111"/>
    <n v="23.1926736111111"/>
    <n v="1"/>
    <n v="1"/>
    <n v="23.187638888888898"/>
    <n v="56"/>
    <n v="20.75"/>
    <n v="0.75"/>
    <n v="20"/>
    <n v="1"/>
    <m/>
  </r>
  <r>
    <s v="0002689571"/>
    <x v="0"/>
    <s v="Medium"/>
    <x v="1"/>
    <s v="RNAM"/>
    <s v="LINUX BROADCAST MANAGEMENT CENTER"/>
    <x v="2"/>
    <s v="#/#"/>
    <x v="1"/>
    <s v="EXUYUFE"/>
    <s v="#"/>
    <s v="Finished"/>
    <x v="23"/>
    <d v="2015-01-21T00:00:00"/>
    <d v="2015-02-06T00:00:00"/>
    <x v="7"/>
    <n v="1"/>
    <n v="19.0136458333333"/>
    <n v="19.0136458333333"/>
    <n v="1"/>
    <n v="1"/>
    <n v="19.0125925925926"/>
    <n v="56"/>
    <n v="21"/>
    <n v="1"/>
    <n v="20"/>
    <n v="1"/>
    <m/>
  </r>
  <r>
    <s v="0002693427"/>
    <x v="1"/>
    <s v="Medium"/>
    <x v="4"/>
    <s v="RASO"/>
    <s v="LINUX BROADCAST DELIVERY CENTER"/>
    <x v="3"/>
    <s v="#/#"/>
    <x v="1"/>
    <s v="EZINZNG"/>
    <s v="#"/>
    <s v="Finished"/>
    <x v="24"/>
    <d v="2015-01-28T00:00:00"/>
    <d v="2015-03-03T00:00:00"/>
    <x v="10"/>
    <n v="1"/>
    <n v="44.511030092592598"/>
    <n v="44.511030092592598"/>
    <n v="1"/>
    <n v="1"/>
    <n v="44.510555555555598"/>
    <n v="45"/>
    <n v="20"/>
    <n v="0"/>
    <n v="20"/>
    <n v="1"/>
    <m/>
  </r>
  <r>
    <s v="0002693444"/>
    <x v="1"/>
    <s v="Medium"/>
    <x v="4"/>
    <s v="RASO"/>
    <s v="LINUX BROADCAST DELIVERY CENTER"/>
    <x v="3"/>
    <s v="#/#"/>
    <x v="1"/>
    <s v="EVYZACN"/>
    <s v="#"/>
    <s v="Finished"/>
    <x v="25"/>
    <d v="2015-01-28T00:00:00"/>
    <d v="2015-03-02T00:00:00"/>
    <x v="1"/>
    <n v="1"/>
    <n v="44.415856481481498"/>
    <n v="44.415856481481498"/>
    <n v="1"/>
    <n v="1"/>
    <n v="44.414664351851798"/>
    <n v="45"/>
    <n v="20"/>
    <n v="0"/>
    <n v="20"/>
    <n v="1"/>
    <m/>
  </r>
  <r>
    <s v="0002700044"/>
    <x v="0"/>
    <s v="Medium"/>
    <x v="1"/>
    <s v="RNAM"/>
    <s v="LINUX BROADCAST MANAGEMENT CENTER"/>
    <x v="2"/>
    <s v="#/#"/>
    <x v="1"/>
    <s v="EVYZACN"/>
    <s v="#"/>
    <s v="Finished"/>
    <x v="26"/>
    <d v="2015-02-09T00:00:00"/>
    <d v="2015-02-25T00:00:00"/>
    <x v="6"/>
    <n v="1"/>
    <n v="95.744201388888897"/>
    <n v="95.744201388888897"/>
    <n v="1"/>
    <n v="1"/>
    <n v="61.9353703703704"/>
    <n v="56"/>
    <n v="48.5"/>
    <n v="28.5"/>
    <n v="20"/>
    <n v="0"/>
    <m/>
  </r>
  <r>
    <s v="0002700045"/>
    <x v="0"/>
    <s v="Medium"/>
    <x v="1"/>
    <s v="RNAM"/>
    <s v="LINUX BROADCAST DELIVERY CENTER"/>
    <x v="3"/>
    <s v="#/#"/>
    <x v="0"/>
    <s v="Not assigned"/>
    <s v="#"/>
    <s v="Finished"/>
    <x v="26"/>
    <m/>
    <m/>
    <x v="3"/>
    <n v="1"/>
    <n v="95.890393518518493"/>
    <n v="95.890393518518493"/>
    <n v="0"/>
    <n v="1"/>
    <n v="59.724872685185197"/>
    <n v="56"/>
    <n v="8.5"/>
    <n v="8.5"/>
    <n v="0"/>
    <n v="0"/>
    <m/>
  </r>
  <r>
    <s v="0002705654"/>
    <x v="0"/>
    <s v="Medium"/>
    <x v="1"/>
    <s v="RNAM"/>
    <s v="LINUX BROADCAST MANAGEMENT CENTER"/>
    <x v="2"/>
    <s v="#/#"/>
    <x v="1"/>
    <s v="EXUYUFE"/>
    <s v="#"/>
    <s v="Finished"/>
    <x v="27"/>
    <d v="2015-02-16T00:00:00"/>
    <d v="2015-02-20T00:00:00"/>
    <x v="11"/>
    <n v="1"/>
    <n v="17.328495370370401"/>
    <n v="25.324641203703699"/>
    <n v="0"/>
    <n v="1"/>
    <n v="13.3917939814815"/>
    <n v="56"/>
    <n v="41.5"/>
    <n v="41.5"/>
    <n v="0"/>
    <n v="1"/>
    <m/>
  </r>
  <r>
    <s v="0002719257"/>
    <x v="0"/>
    <s v="Medium"/>
    <x v="1"/>
    <s v="RNAM"/>
    <s v="LINUX BROADCAST DELIVERY CENTER"/>
    <x v="3"/>
    <s v="#/#"/>
    <x v="1"/>
    <s v="ELINKEE"/>
    <s v="#"/>
    <s v="Finished"/>
    <x v="28"/>
    <d v="2015-03-05T00:00:00"/>
    <d v="2015-03-19T00:00:00"/>
    <x v="6"/>
    <n v="1"/>
    <n v="46.206608796296301"/>
    <n v="46.206608796296301"/>
    <n v="1"/>
    <n v="1"/>
    <n v="15.190509259259301"/>
    <n v="56"/>
    <n v="21"/>
    <n v="1"/>
    <n v="20"/>
    <n v="1"/>
    <m/>
  </r>
  <r>
    <s v="0002724676"/>
    <x v="1"/>
    <s v="High"/>
    <x v="4"/>
    <s v="RASO"/>
    <s v="LINUX BROADCAST MANAGEMENT CENTER"/>
    <x v="2"/>
    <s v="#/#"/>
    <x v="1"/>
    <s v="ELINKEE"/>
    <s v="#"/>
    <s v="Finished"/>
    <x v="29"/>
    <d v="2015-03-13T00:00:00"/>
    <d v="2015-03-20T00:00:00"/>
    <x v="5"/>
    <n v="1"/>
    <n v="9.5098958333333297"/>
    <n v="9.5098958333333297"/>
    <n v="1"/>
    <n v="1"/>
    <n v="9.50920138888889"/>
    <n v="45"/>
    <n v="20"/>
    <n v="0"/>
    <n v="20"/>
    <n v="1"/>
    <m/>
  </r>
  <r>
    <s v="0002724922"/>
    <x v="0"/>
    <s v="Medium"/>
    <x v="1"/>
    <s v="RNAM"/>
    <s v="LINUX BROADCAST DELIVERY CENTER"/>
    <x v="3"/>
    <s v="#/#"/>
    <x v="1"/>
    <s v="ELINKEE"/>
    <s v="#"/>
    <s v="Finished"/>
    <x v="29"/>
    <d v="2015-03-17T00:00:00"/>
    <d v="2015-03-20T00:00:00"/>
    <x v="6"/>
    <n v="1"/>
    <n v="27.034305555555601"/>
    <n v="27.034305555555601"/>
    <n v="1"/>
    <n v="1"/>
    <n v="10.3217708333333"/>
    <n v="56"/>
    <n v="35.5"/>
    <n v="15.5"/>
    <n v="20"/>
    <n v="1"/>
    <m/>
  </r>
  <r>
    <s v="0002729868"/>
    <x v="0"/>
    <s v="Medium"/>
    <x v="1"/>
    <s v="RNAM"/>
    <s v="LINUX BROADCAST MANAGEMENT CENTER"/>
    <x v="2"/>
    <s v="#/#"/>
    <x v="1"/>
    <s v="ELINKEE"/>
    <s v="#"/>
    <s v="Finished"/>
    <x v="30"/>
    <d v="2015-03-30T00:00:00"/>
    <d v="2015-04-10T00:00:00"/>
    <x v="12"/>
    <n v="1"/>
    <n v="52.931550925925897"/>
    <n v="52.931550925925897"/>
    <n v="1"/>
    <n v="1"/>
    <n v="20.982696759259301"/>
    <n v="56"/>
    <n v="35"/>
    <n v="15"/>
    <n v="20"/>
    <n v="1"/>
    <m/>
  </r>
  <r>
    <s v="0002730478"/>
    <x v="1"/>
    <s v="Medium"/>
    <x v="4"/>
    <s v="RASO"/>
    <s v="LINUX BROADCAST MANAGEMENT CENTER"/>
    <x v="2"/>
    <s v="#/#"/>
    <x v="1"/>
    <s v="ELINKEE"/>
    <s v="#"/>
    <s v="Finished"/>
    <x v="31"/>
    <d v="2015-03-23T00:00:00"/>
    <d v="2015-04-22T00:00:00"/>
    <x v="6"/>
    <n v="1"/>
    <n v="31.9361226851852"/>
    <n v="31.9361226851852"/>
    <n v="1"/>
    <n v="1"/>
    <n v="31.929224537037001"/>
    <n v="45"/>
    <n v="20"/>
    <n v="0"/>
    <n v="20"/>
    <n v="1"/>
    <m/>
  </r>
  <r>
    <s v="0002733671"/>
    <x v="0"/>
    <s v="Medium"/>
    <x v="1"/>
    <s v="RNAM"/>
    <s v="LINUX BROADCAST MANAGEMENT CENTER"/>
    <x v="2"/>
    <s v="#/#"/>
    <x v="1"/>
    <s v="ELINKEE"/>
    <s v="#"/>
    <s v="Finished"/>
    <x v="32"/>
    <d v="2015-03-27T00:00:00"/>
    <d v="2015-04-15T00:00:00"/>
    <x v="6"/>
    <n v="1"/>
    <n v="48.108935185185203"/>
    <n v="48.108935185185203"/>
    <n v="1"/>
    <n v="1"/>
    <n v="21.076261574074099"/>
    <n v="56"/>
    <n v="27"/>
    <n v="7"/>
    <n v="20"/>
    <n v="1"/>
    <m/>
  </r>
  <r>
    <s v="0002738796"/>
    <x v="3"/>
    <s v="Medium"/>
    <x v="1"/>
    <s v="RNAM"/>
    <s v="LINUX BROADCAST MANAGEMENT CENTER"/>
    <x v="2"/>
    <s v="#/#"/>
    <x v="0"/>
    <s v="Not assigned"/>
    <s v="#"/>
    <s v="Finished"/>
    <x v="33"/>
    <m/>
    <m/>
    <x v="4"/>
    <n v="1"/>
    <n v="40.211770833333297"/>
    <n v="40.211770833333297"/>
    <n v="0"/>
    <n v="1"/>
    <n v="7.1617708333333301"/>
    <n v="56"/>
    <n v="6.75"/>
    <n v="6.75"/>
    <n v="0"/>
    <n v="1"/>
    <m/>
  </r>
  <r>
    <s v="0002740883"/>
    <x v="0"/>
    <s v="Low"/>
    <x v="1"/>
    <s v="RNAM"/>
    <s v="LINUX BROADCAST DELIVERY CENTER"/>
    <x v="3"/>
    <s v="#/#"/>
    <x v="0"/>
    <s v="Not assigned"/>
    <s v="#"/>
    <s v="Finished"/>
    <x v="34"/>
    <m/>
    <m/>
    <x v="6"/>
    <n v="1"/>
    <n v="141.29230324074101"/>
    <n v="141.29230324074101"/>
    <n v="0"/>
    <n v="1"/>
    <n v="15.4368634259259"/>
    <n v="140"/>
    <n v="14"/>
    <n v="14"/>
    <n v="0"/>
    <n v="1"/>
    <m/>
  </r>
  <r>
    <s v="0002742355"/>
    <x v="1"/>
    <s v="Medium"/>
    <x v="4"/>
    <s v="RASO"/>
    <s v="LINUX BROADCAST MANAGEMENT CENTER"/>
    <x v="2"/>
    <s v="#/#"/>
    <x v="1"/>
    <s v="EXUYUFE"/>
    <s v="#"/>
    <s v="Finished"/>
    <x v="35"/>
    <d v="2015-04-09T00:00:00"/>
    <d v="2015-04-30T00:00:00"/>
    <x v="5"/>
    <n v="1"/>
    <n v="32.052048611111097"/>
    <n v="32.052048611111097"/>
    <n v="1"/>
    <n v="1"/>
    <n v="32.051122685185199"/>
    <n v="45"/>
    <n v="20"/>
    <n v="0"/>
    <n v="20"/>
    <n v="1"/>
    <m/>
  </r>
  <r>
    <s v="0002745303"/>
    <x v="1"/>
    <s v="Medium"/>
    <x v="4"/>
    <s v="RASO"/>
    <s v="LINUX BROADCAST MANAGEMENT CENTER"/>
    <x v="2"/>
    <s v="#/#"/>
    <x v="1"/>
    <s v="ELINKEE"/>
    <s v="#"/>
    <s v="Finished"/>
    <x v="36"/>
    <d v="2015-04-14T00:00:00"/>
    <d v="2015-04-29T00:00:00"/>
    <x v="6"/>
    <n v="1"/>
    <n v="42.100810185185203"/>
    <n v="42.100810185185203"/>
    <n v="1"/>
    <n v="1"/>
    <n v="33.802060185185198"/>
    <n v="45"/>
    <n v="20"/>
    <n v="0"/>
    <n v="20"/>
    <n v="1"/>
    <m/>
  </r>
  <r>
    <s v="0002747200"/>
    <x v="0"/>
    <s v="Medium"/>
    <x v="1"/>
    <s v="RNAM"/>
    <s v="LINUX BROADCAST DELIVERY CENTER"/>
    <x v="3"/>
    <s v="#/#"/>
    <x v="1"/>
    <s v="EZINZNG"/>
    <s v="#"/>
    <s v="Finished"/>
    <x v="37"/>
    <d v="2015-04-17T00:00:00"/>
    <d v="2015-04-22T00:00:00"/>
    <x v="6"/>
    <n v="1"/>
    <n v="28.0879166666667"/>
    <n v="28.0879166666667"/>
    <n v="1"/>
    <n v="1"/>
    <n v="11.803495370370401"/>
    <n v="56"/>
    <n v="32.5"/>
    <n v="24.5"/>
    <n v="8"/>
    <n v="1"/>
    <m/>
  </r>
  <r>
    <s v="0002747209"/>
    <x v="0"/>
    <s v="Medium"/>
    <x v="1"/>
    <s v="RNAM"/>
    <s v="LINUX BROADCAST MANAGEMENT CENTER"/>
    <x v="2"/>
    <s v="#/#"/>
    <x v="1"/>
    <s v="EXUYUFE"/>
    <s v="#"/>
    <s v="Finished"/>
    <x v="37"/>
    <d v="2015-04-20T00:00:00"/>
    <d v="2015-04-21T00:00:00"/>
    <x v="6"/>
    <n v="1"/>
    <n v="26.795462962963001"/>
    <n v="26.795462962963001"/>
    <n v="1"/>
    <n v="1"/>
    <n v="6.7925694444444398"/>
    <n v="56"/>
    <n v="16.5"/>
    <n v="8.5"/>
    <n v="8"/>
    <n v="1"/>
    <m/>
  </r>
  <r>
    <s v="0002748670"/>
    <x v="0"/>
    <s v="Low"/>
    <x v="1"/>
    <s v="RNAM"/>
    <s v="LINUX BROADCAST MANAGEMENT CENTER"/>
    <x v="2"/>
    <s v="#/#"/>
    <x v="1"/>
    <s v="ELINKEE"/>
    <s v="#"/>
    <s v="Finished"/>
    <x v="38"/>
    <d v="2015-04-17T00:00:00"/>
    <d v="2015-04-22T00:00:00"/>
    <x v="5"/>
    <n v="1"/>
    <n v="25.075162037037"/>
    <n v="25.075162037037"/>
    <n v="1"/>
    <n v="1"/>
    <n v="5.1001273148148103"/>
    <n v="140"/>
    <n v="29.25"/>
    <n v="9.25"/>
    <n v="20"/>
    <n v="1"/>
    <m/>
  </r>
  <r>
    <s v="0002749240"/>
    <x v="0"/>
    <s v="Low"/>
    <x v="1"/>
    <s v="RNAM"/>
    <s v="LINUX BROADCAST DELIVERY CENTER"/>
    <x v="3"/>
    <s v="#/#"/>
    <x v="0"/>
    <s v="Not assigned"/>
    <s v="#"/>
    <s v="Finished"/>
    <x v="39"/>
    <m/>
    <m/>
    <x v="6"/>
    <n v="1"/>
    <n v="79.357013888888901"/>
    <n v="79.361307870370396"/>
    <n v="0"/>
    <n v="1"/>
    <n v="52.490196759259298"/>
    <n v="140"/>
    <n v="10"/>
    <n v="10"/>
    <n v="0"/>
    <n v="1"/>
    <m/>
  </r>
  <r>
    <s v="0002751620"/>
    <x v="1"/>
    <s v="Medium"/>
    <x v="3"/>
    <s v="RMED"/>
    <s v="LINUX BROADCAST MANAGEMENT CENTER"/>
    <x v="2"/>
    <s v="#/#"/>
    <x v="1"/>
    <s v="ELINKEE"/>
    <s v="#"/>
    <s v="Finished"/>
    <x v="40"/>
    <d v="2015-04-24T00:00:00"/>
    <d v="2015-05-06T00:00:00"/>
    <x v="12"/>
    <n v="1"/>
    <n v="36.148101851851898"/>
    <n v="400.93469907407399"/>
    <n v="1"/>
    <n v="1"/>
    <n v="36.1451157407407"/>
    <n v="40"/>
    <n v="20"/>
    <n v="0"/>
    <n v="20"/>
    <n v="1"/>
    <m/>
  </r>
  <r>
    <s v="0002754642"/>
    <x v="0"/>
    <s v="Low"/>
    <x v="1"/>
    <s v="RNAM"/>
    <s v="LINUX BROADCAST MANAGEMENT CENTER"/>
    <x v="2"/>
    <s v="#/#"/>
    <x v="1"/>
    <s v="EXUYUFE"/>
    <s v="#"/>
    <s v="Finished"/>
    <x v="41"/>
    <d v="2015-04-27T00:00:00"/>
    <d v="2015-06-10T00:00:00"/>
    <x v="7"/>
    <n v="1"/>
    <n v="94.653009259259306"/>
    <n v="94.653009259259306"/>
    <n v="0"/>
    <n v="1"/>
    <n v="44.467812500000001"/>
    <n v="140"/>
    <n v="24.5"/>
    <n v="12.5"/>
    <n v="12"/>
    <n v="1"/>
    <m/>
  </r>
  <r>
    <s v="0002756148"/>
    <x v="1"/>
    <s v="High"/>
    <x v="3"/>
    <s v="RMED"/>
    <s v="LINUX BROADCAST MANAGEMENT CENTER"/>
    <x v="2"/>
    <s v="#/#"/>
    <x v="1"/>
    <s v="ELINKEE"/>
    <s v="#"/>
    <s v="Finished"/>
    <x v="42"/>
    <d v="2015-04-29T00:00:00"/>
    <d v="2015-04-30T00:00:00"/>
    <x v="0"/>
    <n v="1"/>
    <n v="13.317835648148201"/>
    <n v="13.317835648148201"/>
    <n v="0"/>
    <n v="1"/>
    <n v="13.3172569444444"/>
    <n v="14"/>
    <n v="0.5"/>
    <n v="0.5"/>
    <n v="0"/>
    <n v="1"/>
    <m/>
  </r>
  <r>
    <s v="0002756616"/>
    <x v="0"/>
    <s v="Medium"/>
    <x v="1"/>
    <s v="RNAM"/>
    <s v="LINUX BROADCAST DELIVERY CENTER"/>
    <x v="3"/>
    <s v="#/#"/>
    <x v="1"/>
    <s v="EZINZNG"/>
    <s v="#"/>
    <s v="Finished"/>
    <x v="42"/>
    <d v="2015-04-29T00:00:00"/>
    <d v="2015-05-13T00:00:00"/>
    <x v="6"/>
    <n v="1"/>
    <n v="14.320462962962999"/>
    <n v="14.320717592592599"/>
    <n v="1"/>
    <n v="1"/>
    <n v="14.3181481481482"/>
    <n v="56"/>
    <n v="22"/>
    <n v="2"/>
    <n v="20"/>
    <n v="1"/>
    <m/>
  </r>
  <r>
    <s v="0002760029"/>
    <x v="3"/>
    <s v="Low"/>
    <x v="1"/>
    <s v="RNAM"/>
    <s v="LINUX BROADCAST MANAGEMENT CENTER"/>
    <x v="2"/>
    <s v="#/#"/>
    <x v="0"/>
    <s v="Not assigned"/>
    <s v="#"/>
    <s v="Finished"/>
    <x v="43"/>
    <m/>
    <m/>
    <x v="0"/>
    <n v="1"/>
    <n v="3.0939120370370401"/>
    <n v="3.09420138888889"/>
    <n v="0"/>
    <n v="1"/>
    <n v="3.09163194444444"/>
    <n v="140"/>
    <n v="7"/>
    <n v="7"/>
    <n v="0"/>
    <n v="1"/>
    <m/>
  </r>
  <r>
    <s v="0002763638"/>
    <x v="2"/>
    <s v="Medium"/>
    <x v="1"/>
    <s v="RNAM"/>
    <s v="LINUX BROADCAST MANAGEMENT CENTER"/>
    <x v="2"/>
    <s v="#/#"/>
    <x v="1"/>
    <s v="ELINKEE"/>
    <s v="#"/>
    <s v="Finished"/>
    <x v="44"/>
    <d v="2015-05-11T00:00:00"/>
    <d v="2015-06-02T00:00:00"/>
    <x v="6"/>
    <n v="1"/>
    <n v="30.439444444444401"/>
    <n v="30.439444444444401"/>
    <n v="1"/>
    <n v="1"/>
    <n v="30.438576388888901"/>
    <n v="56"/>
    <n v="24.5"/>
    <n v="4.5"/>
    <n v="20"/>
    <n v="1"/>
    <m/>
  </r>
  <r>
    <s v="0002769533"/>
    <x v="1"/>
    <s v="Medium"/>
    <x v="4"/>
    <s v="RASO"/>
    <s v="LINUX BROADCAST DELIVERY CENTER"/>
    <x v="3"/>
    <s v="#/#"/>
    <x v="1"/>
    <s v="EZINZNG"/>
    <s v="#"/>
    <s v="Finished"/>
    <x v="45"/>
    <d v="2015-05-20T00:00:00"/>
    <d v="2015-05-26T00:00:00"/>
    <x v="12"/>
    <n v="1"/>
    <n v="14.858680555555599"/>
    <n v="14.858680555555599"/>
    <n v="1"/>
    <n v="1"/>
    <n v="14.858020833333301"/>
    <n v="45"/>
    <n v="16"/>
    <n v="0"/>
    <n v="16"/>
    <n v="1"/>
    <m/>
  </r>
  <r>
    <s v="0002770360"/>
    <x v="0"/>
    <s v="Low"/>
    <x v="1"/>
    <s v="RNAM"/>
    <s v="LINUX BROADCAST DELIVERY CENTER"/>
    <x v="3"/>
    <s v="#/#"/>
    <x v="1"/>
    <s v="EZINZNG"/>
    <s v="#"/>
    <s v="Finished"/>
    <x v="45"/>
    <d v="2015-05-21T00:00:00"/>
    <d v="2015-06-10T00:00:00"/>
    <x v="12"/>
    <n v="1"/>
    <n v="30.012731481481499"/>
    <n v="60.909259259259301"/>
    <n v="1"/>
    <n v="1"/>
    <n v="30.012025462962999"/>
    <n v="140"/>
    <n v="18"/>
    <n v="2"/>
    <n v="16"/>
    <n v="1"/>
    <m/>
  </r>
  <r>
    <s v="0002771249"/>
    <x v="0"/>
    <s v="High"/>
    <x v="1"/>
    <s v="RNAM"/>
    <s v="LINUX BROADCAST MANAGEMENT CENTER"/>
    <x v="2"/>
    <s v="#/#"/>
    <x v="0"/>
    <s v="Not assigned"/>
    <s v="#"/>
    <s v="Finished"/>
    <x v="46"/>
    <m/>
    <m/>
    <x v="6"/>
    <n v="1"/>
    <n v="60.828414351851897"/>
    <n v="60.828414351851897"/>
    <n v="0"/>
    <n v="1"/>
    <n v="10.8129166666667"/>
    <n v="28"/>
    <n v="2.5"/>
    <n v="2.5"/>
    <n v="0"/>
    <n v="1"/>
    <m/>
  </r>
  <r>
    <s v="0002775774"/>
    <x v="0"/>
    <s v="Medium"/>
    <x v="1"/>
    <s v="RNAM"/>
    <s v="LINUX BROADCAST DELIVERY CENTER"/>
    <x v="3"/>
    <s v="#/#"/>
    <x v="1"/>
    <s v="EZINZNG"/>
    <s v="#"/>
    <s v="Finished"/>
    <x v="47"/>
    <d v="2015-06-01T00:00:00"/>
    <d v="2015-06-05T00:00:00"/>
    <x v="7"/>
    <n v="1"/>
    <n v="40.136620370370402"/>
    <n v="40.136620370370402"/>
    <n v="1"/>
    <n v="1"/>
    <n v="8.0831250000000008"/>
    <n v="56"/>
    <n v="23"/>
    <n v="15"/>
    <n v="8"/>
    <n v="1"/>
    <m/>
  </r>
  <r>
    <s v="0002777536"/>
    <x v="0"/>
    <s v="Medium"/>
    <x v="1"/>
    <s v="RNAM"/>
    <s v="LINUX BROADCAST DELIVERY CENTER"/>
    <x v="3"/>
    <s v="#/#"/>
    <x v="1"/>
    <s v="ELINKEE"/>
    <s v="#"/>
    <s v="Finished"/>
    <x v="48"/>
    <d v="2015-06-01T00:00:00"/>
    <d v="2015-06-12T00:00:00"/>
    <x v="3"/>
    <n v="1"/>
    <n v="15.3609953703704"/>
    <n v="36.280324074074102"/>
    <n v="1"/>
    <n v="1"/>
    <n v="15.360335648148199"/>
    <n v="56"/>
    <n v="21.5"/>
    <n v="1.5"/>
    <n v="20"/>
    <n v="1"/>
    <m/>
  </r>
  <r>
    <s v="0002777577"/>
    <x v="0"/>
    <s v="Medium"/>
    <x v="1"/>
    <s v="RNAM"/>
    <s v="LINUX BROADCAST DELIVERY CENTER"/>
    <x v="3"/>
    <s v="#/#"/>
    <x v="1"/>
    <s v="EZINZNG"/>
    <s v="#"/>
    <s v="Finished"/>
    <x v="48"/>
    <d v="2015-06-16T00:00:00"/>
    <d v="2015-06-30T00:00:00"/>
    <x v="7"/>
    <n v="1"/>
    <n v="49.117280092592601"/>
    <n v="49.117280092592601"/>
    <n v="1"/>
    <n v="1"/>
    <n v="49.116469907407399"/>
    <n v="56"/>
    <n v="26.5"/>
    <n v="14.5"/>
    <n v="12"/>
    <n v="1"/>
    <m/>
  </r>
  <r>
    <s v="0002779357"/>
    <x v="0"/>
    <s v="Medium"/>
    <x v="1"/>
    <s v="RNAM"/>
    <s v="LINUX BROADCAST DELIVERY CENTER"/>
    <x v="3"/>
    <s v="#/#"/>
    <x v="1"/>
    <s v="EZINZNG"/>
    <s v="#"/>
    <s v="Finished"/>
    <x v="49"/>
    <d v="2015-06-20T00:00:00"/>
    <d v="2015-07-01T00:00:00"/>
    <x v="11"/>
    <n v="1"/>
    <n v="61.3570023148148"/>
    <n v="61.3570023148148"/>
    <n v="1"/>
    <n v="1"/>
    <n v="61.3557407407407"/>
    <n v="56"/>
    <n v="18"/>
    <n v="10"/>
    <n v="8"/>
    <n v="0"/>
    <m/>
  </r>
  <r>
    <s v="0002779631"/>
    <x v="1"/>
    <s v="Medium"/>
    <x v="1"/>
    <s v="RNAM"/>
    <s v="LINUX BROADCAST DELIVERY CENTER"/>
    <x v="4"/>
    <s v="#/#"/>
    <x v="1"/>
    <s v="EXUYUFE"/>
    <s v="#"/>
    <s v="Finished"/>
    <x v="49"/>
    <d v="2015-06-03T00:00:00"/>
    <d v="2015-06-10T00:00:00"/>
    <x v="6"/>
    <n v="1"/>
    <n v="41.8834490740741"/>
    <n v="41.8834490740741"/>
    <n v="1"/>
    <n v="1"/>
    <n v="33.2544212962963"/>
    <n v="56"/>
    <n v="20"/>
    <n v="0"/>
    <n v="20"/>
    <n v="1"/>
    <m/>
  </r>
  <r>
    <s v="0002779695"/>
    <x v="0"/>
    <s v="Medium"/>
    <x v="1"/>
    <s v="RNAM"/>
    <s v="LINUX BROADCAST DELIVERY CENTER"/>
    <x v="3"/>
    <s v="#/#"/>
    <x v="1"/>
    <s v="EZINZNG"/>
    <s v="-"/>
    <s v="Finished"/>
    <x v="49"/>
    <d v="2015-06-03T00:00:00"/>
    <d v="2015-06-19T00:00:00"/>
    <x v="7"/>
    <n v="1"/>
    <n v="47.764166666666704"/>
    <n v="47.764166666666704"/>
    <n v="1"/>
    <n v="1"/>
    <n v="15.8141319444444"/>
    <n v="56"/>
    <n v="25.5"/>
    <n v="5.5"/>
    <n v="20"/>
    <n v="1"/>
    <m/>
  </r>
  <r>
    <s v="0002784320"/>
    <x v="0"/>
    <s v="Medium"/>
    <x v="1"/>
    <s v="RNAM"/>
    <s v="LINUX BROADCAST MANAGEMENT CENTER"/>
    <x v="2"/>
    <s v="#/#"/>
    <x v="1"/>
    <s v="EXUYUFE"/>
    <s v="#"/>
    <s v="Finished"/>
    <x v="50"/>
    <d v="2015-06-10T00:00:00"/>
    <d v="2015-07-21T00:00:00"/>
    <x v="7"/>
    <n v="1"/>
    <n v="54.2099884259259"/>
    <n v="54.2099884259259"/>
    <n v="0"/>
    <n v="1"/>
    <n v="40.959305555555602"/>
    <n v="56"/>
    <n v="33"/>
    <n v="5"/>
    <n v="28"/>
    <n v="1"/>
    <m/>
  </r>
  <r>
    <s v="0002784358"/>
    <x v="0"/>
    <s v="Medium"/>
    <x v="1"/>
    <s v="RNAM"/>
    <s v="LINUX BROADCAST MANAGEMENT CENTER"/>
    <x v="2"/>
    <s v="#/#"/>
    <x v="1"/>
    <s v="EXUYUFE"/>
    <s v="#"/>
    <s v="Finished"/>
    <x v="50"/>
    <d v="2015-06-10T00:00:00"/>
    <d v="2015-06-18T00:00:00"/>
    <x v="7"/>
    <n v="1"/>
    <n v="35.003773148148099"/>
    <n v="35.003773148148099"/>
    <n v="1"/>
    <n v="1"/>
    <n v="13.1377199074074"/>
    <n v="56"/>
    <n v="21"/>
    <n v="5"/>
    <n v="16"/>
    <n v="1"/>
    <m/>
  </r>
  <r>
    <s v="0002785081"/>
    <x v="0"/>
    <s v="High"/>
    <x v="1"/>
    <s v="RNAM"/>
    <s v="LINUX BROADCAST DELIVERY CENTER"/>
    <x v="4"/>
    <s v="Completed"/>
    <x v="1"/>
    <s v="EZINZNG"/>
    <s v="#"/>
    <s v="Finished"/>
    <x v="51"/>
    <d v="2015-06-11T00:00:00"/>
    <d v="2015-06-19T00:00:00"/>
    <x v="13"/>
    <n v="1"/>
    <n v="12.240474537037001"/>
    <n v="12.240474537037001"/>
    <n v="1"/>
    <n v="1"/>
    <n v="12.1990972222222"/>
    <n v="28"/>
    <n v="21.75"/>
    <n v="9.75"/>
    <n v="12"/>
    <n v="1"/>
    <m/>
  </r>
  <r>
    <s v="0002787134"/>
    <x v="1"/>
    <s v="Medium"/>
    <x v="5"/>
    <s v="RMED"/>
    <s v="LINUX BROADCAST DELIVERY CENTER"/>
    <x v="3"/>
    <s v="#/#"/>
    <x v="1"/>
    <s v="ELINKEE"/>
    <s v="#"/>
    <s v="Finished"/>
    <x v="52"/>
    <d v="2015-06-16T00:00:00"/>
    <d v="2015-06-24T00:00:00"/>
    <x v="8"/>
    <n v="1"/>
    <n v="31.6198726851852"/>
    <n v="31.6198726851852"/>
    <n v="1"/>
    <n v="1"/>
    <n v="29.0578009259259"/>
    <n v="40"/>
    <n v="16"/>
    <n v="0"/>
    <n v="16"/>
    <n v="1"/>
    <m/>
  </r>
  <r>
    <s v="0002788184"/>
    <x v="0"/>
    <s v="High"/>
    <x v="1"/>
    <s v="RNAM"/>
    <s v="LINUX BROADCAST DELIVERY CENTER"/>
    <x v="3"/>
    <s v="#/#"/>
    <x v="0"/>
    <s v="Not assigned"/>
    <s v="#"/>
    <s v="Finished"/>
    <x v="53"/>
    <m/>
    <m/>
    <x v="3"/>
    <n v="1"/>
    <n v="3.0568402777777801"/>
    <n v="3.0568402777777801"/>
    <n v="0"/>
    <n v="1"/>
    <n v="1.7009837962962999"/>
    <n v="28"/>
    <n v="7"/>
    <n v="7"/>
    <n v="0"/>
    <n v="1"/>
    <m/>
  </r>
  <r>
    <s v="0002790031"/>
    <x v="0"/>
    <s v="Low"/>
    <x v="1"/>
    <s v="RNAM"/>
    <s v="LINUX BROADCAST DELIVERY CENTER"/>
    <x v="3"/>
    <s v="#/#"/>
    <x v="0"/>
    <s v="Not assigned"/>
    <s v="#"/>
    <s v="Finished"/>
    <x v="54"/>
    <m/>
    <m/>
    <x v="12"/>
    <n v="1"/>
    <n v="46.153159722222199"/>
    <n v="46.153159722222199"/>
    <n v="0"/>
    <n v="1"/>
    <n v="46.152037037036997"/>
    <n v="140"/>
    <n v="5.75"/>
    <n v="5.75"/>
    <n v="0"/>
    <n v="1"/>
    <m/>
  </r>
  <r>
    <s v="0002790917"/>
    <x v="0"/>
    <s v="Medium"/>
    <x v="1"/>
    <s v="RNAM"/>
    <s v="LINUX BROADCAST MANAGEMENT CENTER"/>
    <x v="2"/>
    <s v="#/#"/>
    <x v="0"/>
    <s v="Not assigned"/>
    <s v="#"/>
    <s v="Finished"/>
    <x v="55"/>
    <m/>
    <m/>
    <x v="6"/>
    <n v="1"/>
    <n v="30.8929166666667"/>
    <n v="30.893356481481501"/>
    <n v="0"/>
    <n v="1"/>
    <n v="30.892569444444401"/>
    <n v="56"/>
    <n v="1.5"/>
    <n v="1.5"/>
    <n v="0"/>
    <n v="1"/>
    <m/>
  </r>
  <r>
    <s v="0002795025"/>
    <x v="0"/>
    <s v="Medium"/>
    <x v="1"/>
    <s v="RNAM"/>
    <s v="LINUX BROADCAST MANAGEMENT CENTER"/>
    <x v="2"/>
    <s v="#/#"/>
    <x v="1"/>
    <s v="ELINKEE"/>
    <s v="#"/>
    <s v="Finished"/>
    <x v="56"/>
    <d v="2015-06-25T00:00:00"/>
    <d v="2015-07-07T00:00:00"/>
    <x v="6"/>
    <n v="1"/>
    <n v="13.1744560185185"/>
    <n v="13.1744560185185"/>
    <n v="1"/>
    <n v="1"/>
    <n v="13.164722222222199"/>
    <n v="56"/>
    <n v="23"/>
    <n v="3"/>
    <n v="20"/>
    <n v="1"/>
    <m/>
  </r>
  <r>
    <s v="0002795118"/>
    <x v="0"/>
    <s v="Medium"/>
    <x v="1"/>
    <s v="RNAM"/>
    <s v="LINUX BROADCAST DELIVERY CENTER"/>
    <x v="3"/>
    <s v="#/#"/>
    <x v="0"/>
    <s v="Not assigned"/>
    <s v="#"/>
    <s v="Finished"/>
    <x v="57"/>
    <m/>
    <m/>
    <x v="6"/>
    <n v="1"/>
    <n v="38.875266203703703"/>
    <n v="38.875266203703703"/>
    <n v="0"/>
    <n v="1"/>
    <n v="38.8746064814815"/>
    <n v="56"/>
    <n v="6.5"/>
    <n v="6.5"/>
    <n v="0"/>
    <n v="1"/>
    <m/>
  </r>
  <r>
    <s v="0002796729"/>
    <x v="0"/>
    <s v="Medium"/>
    <x v="1"/>
    <s v="RNAM"/>
    <s v="LINUX BROADCAST MANAGEMENT CENTER"/>
    <x v="2"/>
    <s v="#/#"/>
    <x v="1"/>
    <s v="EXUYUFE"/>
    <s v="#"/>
    <s v="Finished"/>
    <x v="58"/>
    <d v="2015-07-06T00:00:00"/>
    <d v="2015-07-24T00:00:00"/>
    <x v="14"/>
    <n v="1"/>
    <n v="36.331817129629599"/>
    <n v="36.331817129629599"/>
    <n v="1"/>
    <n v="1"/>
    <n v="36.330185185185201"/>
    <n v="56"/>
    <n v="5.75"/>
    <n v="1.75"/>
    <n v="4"/>
    <n v="1"/>
    <m/>
  </r>
  <r>
    <s v="0002800100"/>
    <x v="0"/>
    <s v="Medium"/>
    <x v="1"/>
    <s v="RNAM"/>
    <s v="LINUX BROADCAST MANAGEMENT CENTER"/>
    <x v="2"/>
    <s v="#/#"/>
    <x v="1"/>
    <s v="EXUYUFE"/>
    <s v="#"/>
    <s v="Finished"/>
    <x v="59"/>
    <d v="2015-07-02T00:00:00"/>
    <d v="2015-07-08T00:00:00"/>
    <x v="12"/>
    <n v="1"/>
    <n v="36.641423611111101"/>
    <n v="36.641423611111101"/>
    <n v="1"/>
    <n v="1"/>
    <n v="33.2896990740741"/>
    <n v="56"/>
    <n v="14.75"/>
    <n v="2.75"/>
    <n v="12"/>
    <n v="1"/>
    <m/>
  </r>
  <r>
    <s v="0002802107"/>
    <x v="0"/>
    <s v="High"/>
    <x v="1"/>
    <s v="RNAM"/>
    <s v="LINUX BROADCAST MANAGEMENT CENTER"/>
    <x v="2"/>
    <s v="Cancelled"/>
    <x v="1"/>
    <s v="ELINKEE"/>
    <s v="#"/>
    <s v="Finished"/>
    <x v="60"/>
    <d v="2015-07-06T00:00:00"/>
    <d v="2015-07-09T00:00:00"/>
    <x v="7"/>
    <n v="1"/>
    <n v="14.9606828703704"/>
    <n v="14.9606828703704"/>
    <n v="1"/>
    <n v="1"/>
    <n v="14.9588425925926"/>
    <n v="28"/>
    <n v="17.25"/>
    <n v="1.25"/>
    <n v="16"/>
    <n v="1"/>
    <m/>
  </r>
  <r>
    <s v="0002806372"/>
    <x v="0"/>
    <s v="Medium"/>
    <x v="1"/>
    <s v="RNAM"/>
    <s v="LINUX BROADCAST MANAGEMENT CENTER"/>
    <x v="2"/>
    <s v="#/#"/>
    <x v="0"/>
    <s v="Not assigned"/>
    <s v="#"/>
    <s v="Finished"/>
    <x v="61"/>
    <m/>
    <m/>
    <x v="15"/>
    <n v="1"/>
    <n v="17.6902199074074"/>
    <n v="17.6902199074074"/>
    <n v="0"/>
    <n v="1"/>
    <n v="17.689502314814799"/>
    <n v="56"/>
    <n v="0.5"/>
    <n v="0.5"/>
    <n v="0"/>
    <n v="1"/>
    <m/>
  </r>
  <r>
    <s v="0002808102"/>
    <x v="0"/>
    <s v="High"/>
    <x v="1"/>
    <s v="RNAM"/>
    <s v="LINUX BROADCAST MANAGEMENT CENTER"/>
    <x v="2"/>
    <s v="#/#"/>
    <x v="0"/>
    <s v="Not assigned"/>
    <s v="#"/>
    <s v="Finished"/>
    <x v="62"/>
    <m/>
    <m/>
    <x v="12"/>
    <n v="1"/>
    <n v="42.189120370370397"/>
    <n v="42.189120370370397"/>
    <n v="0"/>
    <n v="1"/>
    <n v="19.275381944444401"/>
    <n v="28"/>
    <n v="8"/>
    <n v="8"/>
    <n v="0"/>
    <n v="1"/>
    <m/>
  </r>
  <r>
    <s v="0002808257"/>
    <x v="0"/>
    <s v="Medium"/>
    <x v="1"/>
    <s v="RNAM"/>
    <s v="LINUX BROADCAST MANAGEMENT CENTER"/>
    <x v="2"/>
    <s v="#/#"/>
    <x v="0"/>
    <s v="Not assigned"/>
    <s v="#"/>
    <s v="Finished"/>
    <x v="62"/>
    <m/>
    <m/>
    <x v="15"/>
    <n v="1"/>
    <n v="19.1687615740741"/>
    <n v="19.1687615740741"/>
    <n v="0"/>
    <n v="1"/>
    <n v="19.167326388888899"/>
    <n v="56"/>
    <n v="1.5"/>
    <n v="1.5"/>
    <n v="0"/>
    <n v="1"/>
    <m/>
  </r>
  <r>
    <s v="0002812965"/>
    <x v="0"/>
    <s v="High"/>
    <x v="1"/>
    <s v="RNAM"/>
    <s v="LINUX BROADCAST MANAGEMENT CENTER"/>
    <x v="2"/>
    <s v="Completed"/>
    <x v="1"/>
    <s v="ELINKEE"/>
    <s v="#"/>
    <s v="Finished"/>
    <x v="63"/>
    <d v="2015-07-24T00:00:00"/>
    <d v="2015-08-13T00:00:00"/>
    <x v="8"/>
    <n v="1"/>
    <n v="49.036886574074103"/>
    <n v="49.036886574074103"/>
    <n v="1"/>
    <n v="1"/>
    <n v="26.283391203703701"/>
    <n v="28"/>
    <n v="22"/>
    <n v="2"/>
    <n v="20"/>
    <n v="1"/>
    <m/>
  </r>
  <r>
    <s v="0002819887"/>
    <x v="0"/>
    <s v="Medium"/>
    <x v="1"/>
    <s v="RNAM"/>
    <s v="LINUX BROADCAST MANAGEMENT CENTER"/>
    <x v="2"/>
    <s v="#/#"/>
    <x v="1"/>
    <s v="EXUYUFE"/>
    <s v="#"/>
    <s v="Finished"/>
    <x v="64"/>
    <d v="2015-08-06T00:00:00"/>
    <d v="2015-08-18T00:00:00"/>
    <x v="6"/>
    <n v="1"/>
    <n v="22.143599537037002"/>
    <n v="22.143599537037002"/>
    <n v="1"/>
    <n v="1"/>
    <n v="14.2318865740741"/>
    <n v="56"/>
    <n v="18.5"/>
    <n v="6.5"/>
    <n v="12"/>
    <n v="1"/>
    <m/>
  </r>
  <r>
    <s v="0002819993"/>
    <x v="1"/>
    <s v="Medium"/>
    <x v="1"/>
    <s v="RNAM"/>
    <s v="LINUX BROADCAST MANAGEMENT CENTER"/>
    <x v="5"/>
    <s v="#/#"/>
    <x v="1"/>
    <s v="ELINKEE"/>
    <s v="#"/>
    <s v="Finished"/>
    <x v="64"/>
    <d v="2015-08-04T00:00:00"/>
    <d v="2015-08-07T00:00:00"/>
    <x v="9"/>
    <n v="1"/>
    <n v="64.952523148148103"/>
    <n v="64.952523148148103"/>
    <n v="1"/>
    <n v="1"/>
    <n v="26.471712962963"/>
    <n v="56"/>
    <n v="13"/>
    <n v="1"/>
    <n v="12"/>
    <n v="1"/>
    <m/>
  </r>
  <r>
    <s v="0002824191"/>
    <x v="0"/>
    <s v="Medium"/>
    <x v="1"/>
    <s v="RNAM"/>
    <s v="LINUX BROADCAST DELIVERY CENTER"/>
    <x v="3"/>
    <s v="#/#"/>
    <x v="0"/>
    <s v="Not assigned"/>
    <s v="#"/>
    <s v="Finished"/>
    <x v="65"/>
    <m/>
    <m/>
    <x v="5"/>
    <n v="1"/>
    <n v="77.337835648148101"/>
    <n v="77.337835648148101"/>
    <n v="0"/>
    <n v="1"/>
    <n v="21.228287037036999"/>
    <n v="56"/>
    <n v="6.5"/>
    <n v="6.5"/>
    <n v="0"/>
    <n v="1"/>
    <m/>
  </r>
  <r>
    <s v="0002824991"/>
    <x v="2"/>
    <s v="Medium"/>
    <x v="6"/>
    <s v="RWCE"/>
    <s v="LINUX BROADCAST DELIVERY CENTER"/>
    <x v="4"/>
    <s v="#/#"/>
    <x v="1"/>
    <s v="EZINZNG"/>
    <s v="#"/>
    <s v="Internal answer provided"/>
    <x v="66"/>
    <d v="2015-08-13T00:00:00"/>
    <d v="2015-08-28T00:00:00"/>
    <x v="7"/>
    <n v="1"/>
    <n v="305.366863425926"/>
    <n v="305.366863425926"/>
    <n v="1"/>
    <n v="0"/>
    <n v="0"/>
    <n v="366"/>
    <n v="60"/>
    <n v="0"/>
    <n v="60"/>
    <n v="0"/>
    <m/>
  </r>
  <r>
    <s v="0002824993"/>
    <x v="2"/>
    <s v="Medium"/>
    <x v="6"/>
    <s v="RWCE"/>
    <s v="LINUX BROADCAST DELIVERY CENTER"/>
    <x v="4"/>
    <s v="#/#"/>
    <x v="1"/>
    <s v="EZINZNG"/>
    <s v="#"/>
    <s v="Internal answer provided"/>
    <x v="66"/>
    <d v="2015-08-13T00:00:00"/>
    <d v="2015-08-25T00:00:00"/>
    <x v="6"/>
    <n v="1"/>
    <n v="305.35791666666699"/>
    <n v="305.35791666666699"/>
    <n v="1"/>
    <n v="0"/>
    <n v="0"/>
    <n v="366"/>
    <n v="20"/>
    <n v="0"/>
    <n v="20"/>
    <n v="0"/>
    <m/>
  </r>
  <r>
    <s v="0002825093"/>
    <x v="0"/>
    <s v="Low"/>
    <x v="1"/>
    <s v="RNAM"/>
    <s v="LINUX BROADCAST DELIVERY CENTER"/>
    <x v="4"/>
    <s v="#/#"/>
    <x v="0"/>
    <s v="Not assigned"/>
    <s v="#"/>
    <s v="Finished"/>
    <x v="66"/>
    <m/>
    <m/>
    <x v="7"/>
    <n v="1"/>
    <n v="75.946064814814804"/>
    <n v="75.946064814814804"/>
    <n v="0"/>
    <n v="1"/>
    <n v="63.939363425925897"/>
    <n v="140"/>
    <n v="1"/>
    <n v="1"/>
    <n v="0"/>
    <n v="1"/>
    <m/>
  </r>
  <r>
    <s v="0002825163"/>
    <x v="1"/>
    <s v="High"/>
    <x v="1"/>
    <s v="RNAM"/>
    <s v="LINUX BROADCAST MANAGEMENT CENTER"/>
    <x v="5"/>
    <s v="#/#"/>
    <x v="1"/>
    <s v="EZINZNG"/>
    <s v="#"/>
    <s v="Finished"/>
    <x v="66"/>
    <d v="2015-08-12T00:00:00"/>
    <d v="2015-09-07T00:00:00"/>
    <x v="7"/>
    <n v="1"/>
    <n v="56.900624999999998"/>
    <n v="56.900624999999998"/>
    <n v="1"/>
    <n v="1"/>
    <n v="41.114224537037003"/>
    <n v="28"/>
    <n v="68"/>
    <n v="0"/>
    <n v="68"/>
    <n v="0"/>
    <m/>
  </r>
  <r>
    <s v="0002828029"/>
    <x v="0"/>
    <s v="Medium"/>
    <x v="1"/>
    <s v="RNAM"/>
    <s v="LINUX BROADCAST MANAGEMENT CENTER"/>
    <x v="5"/>
    <s v="#/#"/>
    <x v="1"/>
    <s v="ELINKEE"/>
    <s v="#"/>
    <s v="Finished"/>
    <x v="67"/>
    <d v="2015-08-18T00:00:00"/>
    <d v="2015-09-01T00:00:00"/>
    <x v="16"/>
    <n v="1"/>
    <n v="70.432511574074098"/>
    <n v="70.432511574074098"/>
    <n v="1"/>
    <n v="1"/>
    <n v="14.316724537037"/>
    <n v="56"/>
    <n v="21"/>
    <n v="1"/>
    <n v="20"/>
    <n v="1"/>
    <m/>
  </r>
  <r>
    <s v="0002830017"/>
    <x v="0"/>
    <s v="High"/>
    <x v="1"/>
    <s v="RNAM"/>
    <s v="LINUX BROADCAST MANAGEMENT CENTER"/>
    <x v="2"/>
    <s v="#/#"/>
    <x v="0"/>
    <s v="Not assigned"/>
    <s v="#"/>
    <s v="Finished"/>
    <x v="68"/>
    <m/>
    <m/>
    <x v="8"/>
    <n v="1"/>
    <n v="6.1135185185185197"/>
    <n v="6.1135185185185197"/>
    <n v="0"/>
    <n v="1"/>
    <n v="4.1910648148148102"/>
    <n v="28"/>
    <n v="5"/>
    <n v="5"/>
    <n v="0"/>
    <n v="1"/>
    <m/>
  </r>
  <r>
    <s v="0002831812"/>
    <x v="0"/>
    <s v="Medium"/>
    <x v="1"/>
    <s v="RNAM"/>
    <s v="LINUX BROADCAST MANAGEMENT CENTER"/>
    <x v="2"/>
    <s v="#/#"/>
    <x v="0"/>
    <s v="Not assigned"/>
    <s v="#"/>
    <s v="Finished"/>
    <x v="69"/>
    <m/>
    <m/>
    <x v="0"/>
    <n v="1"/>
    <n v="16.012604166666701"/>
    <n v="16.012604166666701"/>
    <n v="0"/>
    <n v="1"/>
    <n v="16.0105787037037"/>
    <n v="56"/>
    <n v="8.5"/>
    <n v="8.5"/>
    <n v="0"/>
    <n v="1"/>
    <m/>
  </r>
  <r>
    <s v="0002834347"/>
    <x v="0"/>
    <s v="Medium"/>
    <x v="1"/>
    <s v="RNAM"/>
    <s v="LINUX BROADCAST MANAGEMENT CENTER"/>
    <x v="2"/>
    <s v="#/#"/>
    <x v="1"/>
    <s v="ELINKEE"/>
    <s v="#"/>
    <s v="Finished"/>
    <x v="70"/>
    <d v="2015-08-27T00:00:00"/>
    <d v="2015-09-06T00:00:00"/>
    <x v="1"/>
    <n v="1"/>
    <n v="49.333263888888901"/>
    <n v="49.333263888888901"/>
    <n v="1"/>
    <n v="1"/>
    <n v="12.3376388888889"/>
    <n v="56"/>
    <n v="21.5"/>
    <n v="1.5"/>
    <n v="20"/>
    <n v="1"/>
    <m/>
  </r>
  <r>
    <s v="0002837032"/>
    <x v="0"/>
    <s v="High"/>
    <x v="1"/>
    <s v="RNAM"/>
    <s v="LINUX BROADCAST DELIVERY CENTER"/>
    <x v="3"/>
    <s v="#/#"/>
    <x v="0"/>
    <s v="Not assigned"/>
    <s v="#"/>
    <s v="Finished"/>
    <x v="71"/>
    <m/>
    <m/>
    <x v="2"/>
    <n v="1"/>
    <n v="3.4037384259259298"/>
    <n v="3.4037384259259298"/>
    <n v="0"/>
    <n v="1"/>
    <n v="0.42668981481481499"/>
    <n v="28"/>
    <n v="6"/>
    <n v="6"/>
    <n v="0"/>
    <n v="1"/>
    <m/>
  </r>
  <r>
    <s v="0002837423"/>
    <x v="0"/>
    <s v="Medium"/>
    <x v="1"/>
    <s v="RNAM"/>
    <s v="LINUX BROADCAST DELIVERY CENTER"/>
    <x v="3"/>
    <s v="#/#"/>
    <x v="0"/>
    <s v="Not assigned"/>
    <s v="#"/>
    <s v="Finished"/>
    <x v="71"/>
    <m/>
    <m/>
    <x v="2"/>
    <n v="1"/>
    <n v="84.936921296296305"/>
    <n v="174.961099537037"/>
    <n v="0"/>
    <n v="1"/>
    <n v="84.9365509259259"/>
    <n v="56"/>
    <n v="0"/>
    <n v="0"/>
    <n v="0"/>
    <n v="0"/>
    <m/>
  </r>
  <r>
    <s v="0002837444"/>
    <x v="0"/>
    <s v="Medium"/>
    <x v="1"/>
    <s v="RNAM"/>
    <s v="LINUX BROADCAST DELIVERY CENTER"/>
    <x v="3"/>
    <s v="#/#"/>
    <x v="0"/>
    <s v="Not assigned"/>
    <s v="#"/>
    <s v="Finished"/>
    <x v="71"/>
    <m/>
    <m/>
    <x v="2"/>
    <n v="1"/>
    <n v="84.928182870370406"/>
    <n v="174.95921296296299"/>
    <n v="0"/>
    <n v="1"/>
    <n v="84.9278703703704"/>
    <n v="56"/>
    <n v="0"/>
    <n v="0"/>
    <n v="0"/>
    <n v="0"/>
    <m/>
  </r>
  <r>
    <s v="0002839937"/>
    <x v="0"/>
    <s v="Medium"/>
    <x v="1"/>
    <s v="RNAM"/>
    <s v="LINUX BROADCAST DELIVERY CENTER"/>
    <x v="3"/>
    <s v="#/#"/>
    <x v="0"/>
    <s v="Not assigned"/>
    <s v="#"/>
    <s v="Finished"/>
    <x v="72"/>
    <m/>
    <m/>
    <x v="3"/>
    <n v="1"/>
    <n v="40.133148148148202"/>
    <n v="40.133148148148202"/>
    <n v="0"/>
    <n v="1"/>
    <n v="40.0692824074074"/>
    <n v="56"/>
    <n v="2.5"/>
    <n v="2.5"/>
    <n v="0"/>
    <n v="1"/>
    <m/>
  </r>
  <r>
    <s v="0002843040"/>
    <x v="0"/>
    <s v="Medium"/>
    <x v="1"/>
    <s v="RNAM"/>
    <s v="LINUX BROADCAST MANAGEMENT CENTER"/>
    <x v="2"/>
    <s v="#/#"/>
    <x v="0"/>
    <s v="Not assigned"/>
    <s v="#"/>
    <s v="Finished"/>
    <x v="73"/>
    <m/>
    <m/>
    <x v="0"/>
    <n v="1"/>
    <n v="47.374282407407399"/>
    <n v="47.374282407407399"/>
    <n v="0"/>
    <n v="1"/>
    <n v="6.0160995370370403"/>
    <n v="56"/>
    <n v="4.75"/>
    <n v="4.75"/>
    <n v="0"/>
    <n v="1"/>
    <m/>
  </r>
  <r>
    <s v="0002843136"/>
    <x v="0"/>
    <s v="Low"/>
    <x v="1"/>
    <s v="RNAM"/>
    <s v="LINUX BROADCAST DELIVERY CENTER"/>
    <x v="3"/>
    <s v="#/#"/>
    <x v="0"/>
    <s v="Not assigned"/>
    <s v="#"/>
    <s v="Finished"/>
    <x v="73"/>
    <m/>
    <m/>
    <x v="2"/>
    <n v="1"/>
    <n v="76.0797800925926"/>
    <n v="166.11181712963"/>
    <n v="0"/>
    <n v="1"/>
    <n v="76.079386574074107"/>
    <n v="140"/>
    <n v="0"/>
    <n v="0"/>
    <n v="0"/>
    <n v="1"/>
    <m/>
  </r>
  <r>
    <s v="0002843188"/>
    <x v="0"/>
    <s v="High"/>
    <x v="1"/>
    <s v="RNAM"/>
    <s v="LINUX BROADCAST DELIVERY CENTER"/>
    <x v="3"/>
    <s v="#/#"/>
    <x v="0"/>
    <s v="Not assigned"/>
    <s v="#"/>
    <s v="Finished"/>
    <x v="73"/>
    <m/>
    <m/>
    <x v="4"/>
    <n v="1"/>
    <n v="14.185601851851899"/>
    <n v="14.185601851851899"/>
    <n v="0"/>
    <n v="1"/>
    <n v="7.9447685185185204"/>
    <n v="28"/>
    <n v="2.5"/>
    <n v="2.5"/>
    <n v="0"/>
    <n v="1"/>
    <m/>
  </r>
  <r>
    <s v="0002845807"/>
    <x v="0"/>
    <s v="High"/>
    <x v="1"/>
    <s v="RNAM"/>
    <s v="LINUX BROADCAST MANAGEMENT CENTER"/>
    <x v="2"/>
    <s v="#/#"/>
    <x v="0"/>
    <s v="Not assigned"/>
    <s v="#"/>
    <s v="Finished"/>
    <x v="74"/>
    <m/>
    <m/>
    <x v="0"/>
    <n v="1"/>
    <n v="0.42870370370370398"/>
    <n v="0.42870370370370398"/>
    <n v="0"/>
    <n v="1"/>
    <n v="0.32424768518518499"/>
    <n v="28"/>
    <n v="0.5"/>
    <n v="0.5"/>
    <n v="0"/>
    <n v="1"/>
    <m/>
  </r>
  <r>
    <s v="0002849615"/>
    <x v="0"/>
    <s v="Low"/>
    <x v="1"/>
    <s v="RNAM"/>
    <s v="LINUX BROADCAST DELIVERY CENTER"/>
    <x v="4"/>
    <s v="#/#"/>
    <x v="0"/>
    <s v="Not assigned"/>
    <s v="#"/>
    <s v="Finished"/>
    <x v="75"/>
    <m/>
    <m/>
    <x v="7"/>
    <n v="1"/>
    <n v="23.918888888888901"/>
    <n v="23.918888888888901"/>
    <n v="0"/>
    <n v="1"/>
    <n v="23.9180439814815"/>
    <n v="140"/>
    <n v="0.75"/>
    <n v="0.75"/>
    <n v="0"/>
    <n v="1"/>
    <m/>
  </r>
  <r>
    <s v="0002851218"/>
    <x v="1"/>
    <s v="Medium"/>
    <x v="1"/>
    <s v="RNAM"/>
    <s v="LINUX BROADCAST MANAGEMENT CENTER"/>
    <x v="5"/>
    <s v="#/#"/>
    <x v="1"/>
    <s v="ELINKEE"/>
    <s v="#"/>
    <s v="Finished"/>
    <x v="76"/>
    <d v="2015-09-23T00:00:00"/>
    <d v="2015-09-30T00:00:00"/>
    <x v="8"/>
    <n v="1"/>
    <n v="14.915775462962999"/>
    <n v="14.915775462962999"/>
    <n v="1"/>
    <n v="1"/>
    <n v="14.770208333333301"/>
    <n v="56"/>
    <n v="20"/>
    <n v="0"/>
    <n v="20"/>
    <n v="1"/>
    <m/>
  </r>
  <r>
    <s v="0002851219"/>
    <x v="1"/>
    <s v="Medium"/>
    <x v="1"/>
    <s v="RNAM"/>
    <s v="LINUX BROADCAST DELIVERY CENTER"/>
    <x v="4"/>
    <s v="#/#"/>
    <x v="1"/>
    <s v="EXUYUFE"/>
    <s v="#"/>
    <s v="Finished"/>
    <x v="76"/>
    <d v="2015-09-23T00:00:00"/>
    <d v="2015-09-29T00:00:00"/>
    <x v="12"/>
    <n v="1"/>
    <n v="14.913229166666699"/>
    <n v="14.913229166666699"/>
    <n v="1"/>
    <n v="1"/>
    <n v="14.766365740740699"/>
    <n v="56"/>
    <n v="16"/>
    <n v="0"/>
    <n v="16"/>
    <n v="1"/>
    <m/>
  </r>
  <r>
    <s v="0002851916"/>
    <x v="0"/>
    <s v="High"/>
    <x v="1"/>
    <s v="RNAM"/>
    <s v="LINUX BROADCAST DELIVERY CENTER"/>
    <x v="4"/>
    <s v="#/#"/>
    <x v="0"/>
    <s v="Not assigned"/>
    <s v="#"/>
    <s v="Finished"/>
    <x v="77"/>
    <m/>
    <m/>
    <x v="8"/>
    <n v="1"/>
    <n v="0.88123842592592605"/>
    <n v="0.88123842592592605"/>
    <n v="0"/>
    <n v="1"/>
    <n v="0.87924768518518504"/>
    <n v="28"/>
    <n v="2"/>
    <n v="2"/>
    <n v="0"/>
    <n v="1"/>
    <m/>
  </r>
  <r>
    <s v="0002853561"/>
    <x v="0"/>
    <s v="Medium"/>
    <x v="1"/>
    <s v="RNAM"/>
    <s v="LINUX BROADCAST MANAGEMENT CENTER"/>
    <x v="2"/>
    <s v="#/#"/>
    <x v="0"/>
    <s v="Not assigned"/>
    <s v="#"/>
    <s v="Finished"/>
    <x v="78"/>
    <m/>
    <m/>
    <x v="12"/>
    <n v="1"/>
    <n v="1.6770023148148201"/>
    <n v="1.6770023148148201"/>
    <n v="0"/>
    <n v="1"/>
    <n v="0.98250000000000004"/>
    <n v="56"/>
    <n v="4"/>
    <n v="4"/>
    <n v="0"/>
    <n v="1"/>
    <m/>
  </r>
  <r>
    <s v="0002854389"/>
    <x v="0"/>
    <s v="Medium"/>
    <x v="1"/>
    <s v="RNAM"/>
    <s v="LINUX BROADCAST DELIVERY CENTER"/>
    <x v="3"/>
    <s v="#/#"/>
    <x v="0"/>
    <s v="Not assigned"/>
    <s v="#"/>
    <s v="Finished"/>
    <x v="79"/>
    <m/>
    <m/>
    <x v="0"/>
    <n v="1"/>
    <n v="10.194432870370401"/>
    <n v="10.194432870370401"/>
    <n v="0"/>
    <n v="1"/>
    <n v="6.06820601851852"/>
    <n v="56"/>
    <n v="3.25"/>
    <n v="3.25"/>
    <n v="0"/>
    <n v="1"/>
    <m/>
  </r>
  <r>
    <s v="0002854390"/>
    <x v="0"/>
    <s v="Medium"/>
    <x v="1"/>
    <s v="RNAM"/>
    <s v="LINUX BROADCAST MANAGEMENT CENTER"/>
    <x v="2"/>
    <s v="#/#"/>
    <x v="0"/>
    <s v="Not assigned"/>
    <s v="#"/>
    <s v="Finished"/>
    <x v="79"/>
    <m/>
    <m/>
    <x v="0"/>
    <n v="1"/>
    <n v="10.190763888888901"/>
    <n v="10.190763888888901"/>
    <n v="0"/>
    <n v="1"/>
    <n v="6.0615740740740698"/>
    <n v="56"/>
    <n v="2.75"/>
    <n v="2.75"/>
    <n v="0"/>
    <n v="1"/>
    <m/>
  </r>
  <r>
    <s v="0002854482"/>
    <x v="1"/>
    <s v="High"/>
    <x v="1"/>
    <s v="RNAM"/>
    <s v="LINUX BROADCAST DELIVERY CENTER"/>
    <x v="4"/>
    <s v="Completed"/>
    <x v="1"/>
    <s v="ELINKEE"/>
    <s v="#"/>
    <s v="Finished"/>
    <x v="79"/>
    <d v="2015-09-30T00:00:00"/>
    <d v="2015-10-14T00:00:00"/>
    <x v="13"/>
    <n v="1"/>
    <n v="14.1277777777778"/>
    <n v="14.1277777777778"/>
    <n v="1"/>
    <n v="1"/>
    <n v="14.126666666666701"/>
    <n v="28"/>
    <n v="25.5"/>
    <n v="5.5"/>
    <n v="20"/>
    <n v="1"/>
    <m/>
  </r>
  <r>
    <s v="0002856013"/>
    <x v="0"/>
    <s v="High"/>
    <x v="1"/>
    <s v="RNAM"/>
    <s v="LINUX BROADCAST MANAGEMENT CENTER"/>
    <x v="2"/>
    <s v="#/#"/>
    <x v="0"/>
    <s v="Not assigned"/>
    <s v="#"/>
    <s v="Finished"/>
    <x v="80"/>
    <m/>
    <m/>
    <x v="12"/>
    <n v="1"/>
    <n v="2.3981481481481501"/>
    <n v="2.3981481481481501"/>
    <n v="0"/>
    <n v="1"/>
    <n v="0.24312500000000001"/>
    <n v="28"/>
    <n v="3"/>
    <n v="3"/>
    <n v="0"/>
    <n v="1"/>
    <m/>
  </r>
  <r>
    <s v="0002856871"/>
    <x v="0"/>
    <s v="High"/>
    <x v="1"/>
    <s v="RNAM"/>
    <s v="LINUX BROADCAST MANAGEMENT CENTER"/>
    <x v="2"/>
    <s v="#/#"/>
    <x v="0"/>
    <s v="Not assigned"/>
    <s v="#"/>
    <s v="Finished"/>
    <x v="81"/>
    <m/>
    <m/>
    <x v="12"/>
    <n v="1"/>
    <n v="0.20863425925925899"/>
    <n v="0.20863425925925899"/>
    <n v="0"/>
    <n v="1"/>
    <n v="0.20334490740740699"/>
    <n v="28"/>
    <n v="3.5"/>
    <n v="3.5"/>
    <n v="0"/>
    <n v="1"/>
    <m/>
  </r>
  <r>
    <s v="0002859336"/>
    <x v="0"/>
    <s v="High"/>
    <x v="1"/>
    <s v="RNAM"/>
    <s v="LINUX BROADCAST MANAGEMENT CENTER"/>
    <x v="2"/>
    <s v="#/#"/>
    <x v="0"/>
    <s v="Not assigned"/>
    <s v="#"/>
    <s v="Finished"/>
    <x v="82"/>
    <m/>
    <m/>
    <x v="12"/>
    <n v="1"/>
    <n v="0.328969907407407"/>
    <n v="0.328969907407407"/>
    <n v="0"/>
    <n v="1"/>
    <n v="0.32747685185185199"/>
    <n v="28"/>
    <n v="2.5"/>
    <n v="2.5"/>
    <n v="0"/>
    <n v="1"/>
    <m/>
  </r>
  <r>
    <s v="0002860663"/>
    <x v="0"/>
    <s v="Emergency"/>
    <x v="1"/>
    <s v="RNAM"/>
    <s v="LINUX BROADCAST DELIVERY CENTER"/>
    <x v="4"/>
    <s v="#/#"/>
    <x v="1"/>
    <s v="ELINKEE"/>
    <s v="#"/>
    <s v="Finished"/>
    <x v="83"/>
    <d v="2015-10-09T00:00:00"/>
    <d v="2015-10-09T00:00:00"/>
    <x v="12"/>
    <n v="1"/>
    <n v="0.47506944444444399"/>
    <n v="0.47506944444444399"/>
    <n v="1"/>
    <n v="1"/>
    <n v="8.1018518518518503E-5"/>
    <n v="3"/>
    <n v="7"/>
    <n v="3"/>
    <n v="4"/>
    <n v="1"/>
    <m/>
  </r>
  <r>
    <s v="0002861078"/>
    <x v="0"/>
    <s v="High"/>
    <x v="1"/>
    <s v="RNAM"/>
    <s v="LINUX BROADCAST MANAGEMENT CENTER"/>
    <x v="2"/>
    <s v="#/#"/>
    <x v="0"/>
    <s v="Not assigned"/>
    <s v="#"/>
    <s v="Finished"/>
    <x v="83"/>
    <m/>
    <m/>
    <x v="12"/>
    <n v="1"/>
    <n v="9.5995370370370398E-2"/>
    <n v="9.5995370370370398E-2"/>
    <n v="0"/>
    <n v="1"/>
    <n v="9.5011574074074095E-2"/>
    <n v="28"/>
    <n v="2"/>
    <n v="2"/>
    <n v="0"/>
    <n v="1"/>
    <m/>
  </r>
  <r>
    <s v="0002862321"/>
    <x v="0"/>
    <s v="Medium"/>
    <x v="4"/>
    <s v="RASO"/>
    <s v="LINUX BROADCAST DELIVERY CENTER"/>
    <x v="3"/>
    <s v="#/#"/>
    <x v="1"/>
    <s v="EZINZNG"/>
    <s v="#"/>
    <s v="Finished"/>
    <x v="84"/>
    <d v="2015-10-13T00:00:00"/>
    <d v="2015-10-16T00:00:00"/>
    <x v="3"/>
    <n v="1"/>
    <n v="54.904548611111103"/>
    <n v="54.904548611111103"/>
    <n v="1"/>
    <n v="1"/>
    <n v="7.0411574074074101"/>
    <n v="20"/>
    <n v="9"/>
    <n v="3"/>
    <n v="6"/>
    <n v="1"/>
    <m/>
  </r>
  <r>
    <s v="0002862883"/>
    <x v="0"/>
    <s v="Medium"/>
    <x v="1"/>
    <s v="RNAM"/>
    <s v="LINUX BROADCAST DELIVERY CENTER"/>
    <x v="3"/>
    <s v="#/#"/>
    <x v="1"/>
    <s v="EXUYUFE"/>
    <s v="#"/>
    <s v="Finished"/>
    <x v="84"/>
    <d v="2015-10-14T00:00:00"/>
    <d v="2015-10-29T00:00:00"/>
    <x v="12"/>
    <n v="1"/>
    <n v="15.9749652777778"/>
    <n v="15.9749652777778"/>
    <n v="1"/>
    <n v="1"/>
    <n v="15.9729282407407"/>
    <n v="56"/>
    <n v="25.25"/>
    <n v="5.25"/>
    <n v="20"/>
    <n v="1"/>
    <m/>
  </r>
  <r>
    <s v="0002862996"/>
    <x v="0"/>
    <s v="Medium"/>
    <x v="1"/>
    <s v="RNAM"/>
    <s v="LINUX BROADCAST MANAGEMENT CENTER"/>
    <x v="2"/>
    <s v="#/#"/>
    <x v="1"/>
    <s v="ELINKEE"/>
    <s v="#"/>
    <s v="Finished"/>
    <x v="84"/>
    <d v="2015-10-13T00:00:00"/>
    <d v="2015-10-16T00:00:00"/>
    <x v="12"/>
    <n v="1"/>
    <n v="8.1676273148148208"/>
    <n v="14.285578703703701"/>
    <n v="1"/>
    <n v="1"/>
    <n v="8.1673726851851907"/>
    <n v="56"/>
    <n v="27.5"/>
    <n v="7.5"/>
    <n v="20"/>
    <n v="1"/>
    <m/>
  </r>
  <r>
    <s v="0002866712"/>
    <x v="0"/>
    <s v="Low"/>
    <x v="1"/>
    <s v="RNAM"/>
    <s v="LINUX BROADCAST DELIVERY CENTER"/>
    <x v="4"/>
    <s v="#/#"/>
    <x v="1"/>
    <s v="EXUYUFE"/>
    <s v="#"/>
    <s v="Finished"/>
    <x v="85"/>
    <d v="2015-11-03T00:00:00"/>
    <d v="2015-12-04T00:00:00"/>
    <x v="4"/>
    <n v="1"/>
    <n v="81.097800925925895"/>
    <n v="81.097800925925895"/>
    <n v="1"/>
    <n v="1"/>
    <n v="45.841354166666697"/>
    <n v="140"/>
    <n v="18"/>
    <n v="3"/>
    <n v="15"/>
    <n v="1"/>
    <m/>
  </r>
  <r>
    <s v="0002867267"/>
    <x v="0"/>
    <s v="Emergency"/>
    <x v="1"/>
    <s v="RNAM"/>
    <s v="LINUX BROADCAST MANAGEMENT CENTER"/>
    <x v="2"/>
    <s v="#/#"/>
    <x v="2"/>
    <s v="EPHYBRU"/>
    <s v="#"/>
    <s v="Finished"/>
    <x v="86"/>
    <d v="2015-10-20T00:00:00"/>
    <d v="2015-10-20T00:00:00"/>
    <x v="2"/>
    <n v="1"/>
    <n v="0.109502314814815"/>
    <n v="0.109502314814815"/>
    <n v="1"/>
    <n v="1"/>
    <n v="0.108726851851852"/>
    <n v="3"/>
    <n v="2"/>
    <n v="2"/>
    <n v="0"/>
    <n v="1"/>
    <m/>
  </r>
  <r>
    <s v="0002867326"/>
    <x v="0"/>
    <s v="High"/>
    <x v="1"/>
    <s v="RNAM"/>
    <s v="LINUX BROADCAST MANAGEMENT CENTER"/>
    <x v="2"/>
    <s v="#/#"/>
    <x v="0"/>
    <s v="Not assigned"/>
    <s v="#"/>
    <s v="Finished"/>
    <x v="86"/>
    <m/>
    <m/>
    <x v="2"/>
    <n v="1"/>
    <n v="0.12503472222222201"/>
    <n v="0.12503472222222201"/>
    <n v="0"/>
    <n v="1"/>
    <n v="0.12149305555555601"/>
    <n v="28"/>
    <n v="8"/>
    <n v="8"/>
    <n v="0"/>
    <n v="1"/>
    <m/>
  </r>
  <r>
    <s v="0002867610"/>
    <x v="1"/>
    <s v="Medium"/>
    <x v="1"/>
    <s v="RNAM"/>
    <s v="LINUX BROADCAST DELIVERY CENTER"/>
    <x v="4"/>
    <s v="#/#"/>
    <x v="1"/>
    <s v="EXUYUFE"/>
    <s v="#"/>
    <s v="Finished"/>
    <x v="86"/>
    <d v="2015-10-20T00:00:00"/>
    <d v="2015-10-26T00:00:00"/>
    <x v="2"/>
    <n v="1"/>
    <n v="17.7367824074074"/>
    <n v="17.7367824074074"/>
    <n v="1"/>
    <n v="1"/>
    <n v="8.0484837962962992"/>
    <n v="56"/>
    <n v="21"/>
    <n v="1"/>
    <n v="20"/>
    <n v="1"/>
    <m/>
  </r>
  <r>
    <s v="0002867626"/>
    <x v="1"/>
    <s v="Medium"/>
    <x v="1"/>
    <s v="RNAM"/>
    <s v="LINUX BROADCAST MANAGEMENT CENTER"/>
    <x v="5"/>
    <s v="#/#"/>
    <x v="0"/>
    <s v="Not assigned"/>
    <s v="#"/>
    <s v="Finished"/>
    <x v="86"/>
    <m/>
    <m/>
    <x v="12"/>
    <n v="1"/>
    <n v="12.9962847222222"/>
    <n v="12.9967013888889"/>
    <n v="0"/>
    <n v="1"/>
    <n v="12.9940972222222"/>
    <n v="56"/>
    <n v="3"/>
    <n v="3"/>
    <n v="0"/>
    <n v="1"/>
    <m/>
  </r>
  <r>
    <s v="0002867627"/>
    <x v="1"/>
    <s v="Medium"/>
    <x v="1"/>
    <s v="RNAM"/>
    <s v="LINUX BROADCAST MANAGEMENT CENTER"/>
    <x v="5"/>
    <s v="#/#"/>
    <x v="1"/>
    <s v="EXUYUFE"/>
    <s v="#"/>
    <s v="Finished"/>
    <x v="86"/>
    <d v="2015-10-21T00:00:00"/>
    <d v="2015-11-12T00:00:00"/>
    <x v="12"/>
    <n v="1"/>
    <n v="14.168275462963001"/>
    <n v="22.7745833333333"/>
    <n v="1"/>
    <n v="1"/>
    <n v="14.1676967592593"/>
    <n v="56"/>
    <n v="38"/>
    <n v="6"/>
    <n v="32"/>
    <n v="1"/>
    <m/>
  </r>
  <r>
    <s v="0002869916"/>
    <x v="0"/>
    <s v="High"/>
    <x v="1"/>
    <s v="RNAM"/>
    <s v="LINUX BROADCAST DELIVERY CENTER"/>
    <x v="3"/>
    <s v="#/#"/>
    <x v="0"/>
    <s v="Not assigned"/>
    <s v="#"/>
    <s v="Finished"/>
    <x v="87"/>
    <m/>
    <m/>
    <x v="7"/>
    <n v="1"/>
    <n v="4.2766550925925904"/>
    <n v="4.2766550925925904"/>
    <n v="0"/>
    <n v="1"/>
    <n v="0.24641203703703701"/>
    <n v="28"/>
    <n v="6"/>
    <n v="6"/>
    <n v="0"/>
    <n v="1"/>
    <m/>
  </r>
  <r>
    <s v="0002870126"/>
    <x v="0"/>
    <s v="Medium"/>
    <x v="1"/>
    <s v="RNAM"/>
    <s v="LINUX BROADCAST DELIVERY CENTER"/>
    <x v="3"/>
    <s v="#/#"/>
    <x v="0"/>
    <s v="Not assigned"/>
    <s v="#"/>
    <s v="Finished"/>
    <x v="88"/>
    <m/>
    <m/>
    <x v="0"/>
    <n v="1"/>
    <n v="24.3699074074074"/>
    <n v="24.3699074074074"/>
    <n v="0"/>
    <n v="1"/>
    <n v="24.369050925925901"/>
    <n v="56"/>
    <n v="9.75"/>
    <n v="9.75"/>
    <n v="0"/>
    <n v="1"/>
    <m/>
  </r>
  <r>
    <s v="0002871019"/>
    <x v="0"/>
    <s v="Low"/>
    <x v="1"/>
    <s v="RNAM"/>
    <s v="LINUX BROADCAST DELIVERY CENTER"/>
    <x v="3"/>
    <s v="#/#"/>
    <x v="1"/>
    <s v="EZINZNG"/>
    <s v="#"/>
    <s v="Finished"/>
    <x v="89"/>
    <d v="2015-10-26T00:00:00"/>
    <d v="2016-01-08T00:00:00"/>
    <x v="3"/>
    <n v="1"/>
    <n v="78.393993055555597"/>
    <n v="120.062233796296"/>
    <n v="1"/>
    <n v="1"/>
    <n v="78.393182870370396"/>
    <n v="140"/>
    <n v="22"/>
    <n v="12"/>
    <n v="10"/>
    <n v="1"/>
    <m/>
  </r>
  <r>
    <s v="0002871030"/>
    <x v="0"/>
    <s v="Medium"/>
    <x v="1"/>
    <s v="RNAM"/>
    <s v="LINUX BROADCAST DELIVERY CENTER"/>
    <x v="4"/>
    <s v="#/#"/>
    <x v="0"/>
    <s v="Not assigned"/>
    <s v="#"/>
    <s v="Finished"/>
    <x v="89"/>
    <m/>
    <m/>
    <x v="6"/>
    <n v="1"/>
    <n v="26.364675925925901"/>
    <n v="145.215"/>
    <n v="0"/>
    <n v="1"/>
    <n v="1.2883912037037"/>
    <n v="56"/>
    <n v="8.5"/>
    <n v="8.5"/>
    <n v="0"/>
    <n v="1"/>
    <m/>
  </r>
  <r>
    <s v="0002871793"/>
    <x v="0"/>
    <s v="Medium"/>
    <x v="1"/>
    <s v="RNAM"/>
    <s v="LINUX BROADCAST DELIVERY CENTER"/>
    <x v="4"/>
    <s v="#/#"/>
    <x v="1"/>
    <s v="EXUYUFE"/>
    <s v="#"/>
    <s v="Finished"/>
    <x v="90"/>
    <d v="2015-10-28T00:00:00"/>
    <d v="2015-11-06T00:00:00"/>
    <x v="3"/>
    <n v="1"/>
    <n v="21.328622685185199"/>
    <n v="21.328622685185199"/>
    <n v="1"/>
    <n v="1"/>
    <n v="10.377141203703699"/>
    <n v="56"/>
    <n v="25.75"/>
    <n v="9.75"/>
    <n v="16"/>
    <n v="1"/>
    <m/>
  </r>
  <r>
    <s v="0002874566"/>
    <x v="1"/>
    <s v="Medium"/>
    <x v="1"/>
    <s v="RNAM"/>
    <s v="LINUX BROADCAST MANAGEMENT CENTER"/>
    <x v="5"/>
    <s v="#/#"/>
    <x v="1"/>
    <s v="ELINKEE"/>
    <s v="#"/>
    <s v="Finished"/>
    <x v="91"/>
    <d v="2015-10-30T00:00:00"/>
    <d v="2015-11-04T00:00:00"/>
    <x v="9"/>
    <n v="1"/>
    <n v="7.3176273148148203"/>
    <n v="7.3176273148148203"/>
    <n v="1"/>
    <n v="1"/>
    <n v="7.3153125000000001"/>
    <n v="56"/>
    <n v="13.25"/>
    <n v="1.25"/>
    <n v="12"/>
    <n v="1"/>
    <m/>
  </r>
  <r>
    <s v="0002879116"/>
    <x v="0"/>
    <s v="Low"/>
    <x v="1"/>
    <s v="RNAM"/>
    <s v="LINUX BROADCAST DELIVERY CENTER"/>
    <x v="4"/>
    <s v="#/#"/>
    <x v="0"/>
    <s v="Not assigned"/>
    <s v="#"/>
    <s v="Finished"/>
    <x v="92"/>
    <m/>
    <m/>
    <x v="0"/>
    <n v="1"/>
    <n v="11.296388888888901"/>
    <n v="11.296388888888901"/>
    <n v="0"/>
    <n v="1"/>
    <n v="11.2959259259259"/>
    <n v="140"/>
    <n v="3.5"/>
    <n v="3.5"/>
    <n v="0"/>
    <n v="1"/>
    <m/>
  </r>
  <r>
    <s v="0002879201"/>
    <x v="0"/>
    <s v="Medium"/>
    <x v="1"/>
    <s v="RNAM"/>
    <s v="LINUX BROADCAST MANAGEMENT CENTER"/>
    <x v="5"/>
    <s v="#/#"/>
    <x v="1"/>
    <s v="EXUYUFE"/>
    <s v="#"/>
    <s v="Finished"/>
    <x v="92"/>
    <d v="2015-11-06T00:00:00"/>
    <d v="2015-12-15T00:00:00"/>
    <x v="4"/>
    <n v="1"/>
    <n v="63.270416666666698"/>
    <n v="63.270416666666698"/>
    <n v="1"/>
    <n v="1"/>
    <n v="42.337905092592599"/>
    <n v="56"/>
    <n v="35.75"/>
    <n v="7.75"/>
    <n v="28"/>
    <n v="1"/>
    <m/>
  </r>
  <r>
    <s v="0002879555"/>
    <x v="0"/>
    <s v="Medium"/>
    <x v="1"/>
    <s v="RNAM"/>
    <s v="LINUX BROADCAST DELIVERY CENTER"/>
    <x v="4"/>
    <s v="#/#"/>
    <x v="0"/>
    <s v="Not assigned"/>
    <s v="#"/>
    <s v="Finished"/>
    <x v="93"/>
    <m/>
    <m/>
    <x v="0"/>
    <n v="1"/>
    <n v="9.1008101851851801"/>
    <n v="9.7557754629629603"/>
    <n v="0"/>
    <n v="1"/>
    <n v="9.1002430555555591"/>
    <n v="56"/>
    <n v="2.75"/>
    <n v="2.75"/>
    <n v="0"/>
    <n v="1"/>
    <m/>
  </r>
  <r>
    <s v="0002880414"/>
    <x v="0"/>
    <s v="Low"/>
    <x v="1"/>
    <s v="RNAM"/>
    <s v="LINUX BROADCAST DELIVERY CENTER"/>
    <x v="4"/>
    <s v="Completed"/>
    <x v="1"/>
    <s v="EXUYUFE"/>
    <s v="#"/>
    <s v="Finished"/>
    <x v="94"/>
    <d v="2015-11-09T00:00:00"/>
    <d v="2016-01-11T00:00:00"/>
    <x v="6"/>
    <n v="1"/>
    <n v="73.040046296296296"/>
    <n v="73.040046296296296"/>
    <n v="1"/>
    <n v="1"/>
    <n v="73.038703703703703"/>
    <n v="140"/>
    <n v="71.5"/>
    <n v="37.5"/>
    <n v="34"/>
    <n v="1"/>
    <m/>
  </r>
  <r>
    <s v="0002882046"/>
    <x v="0"/>
    <s v="Medium"/>
    <x v="1"/>
    <s v="RNAM"/>
    <s v="LINUX BROADCAST MANAGEMENT CENTER"/>
    <x v="5"/>
    <s v="#/#"/>
    <x v="1"/>
    <s v="ETONXIA"/>
    <s v="#"/>
    <s v="Finished"/>
    <x v="95"/>
    <d v="2015-11-22T00:00:00"/>
    <d v="2015-12-04T00:00:00"/>
    <x v="6"/>
    <n v="1"/>
    <n v="68.966168981481502"/>
    <n v="68.966168981481502"/>
    <n v="1"/>
    <n v="1"/>
    <n v="22.701574074074099"/>
    <n v="56"/>
    <n v="30.5"/>
    <n v="10.5"/>
    <n v="20"/>
    <n v="1"/>
    <m/>
  </r>
  <r>
    <s v="0002882833"/>
    <x v="0"/>
    <s v="Medium"/>
    <x v="1"/>
    <s v="RNAM"/>
    <s v="LINUX BROADCAST MANAGEMENT CENTER"/>
    <x v="5"/>
    <s v="#/#"/>
    <x v="0"/>
    <s v="Not assigned"/>
    <s v="#"/>
    <s v="Finished"/>
    <x v="96"/>
    <m/>
    <m/>
    <x v="12"/>
    <n v="1"/>
    <n v="56.685347222222198"/>
    <n v="56.685347222222198"/>
    <n v="0"/>
    <n v="1"/>
    <n v="54.789386574074101"/>
    <n v="56"/>
    <n v="6"/>
    <n v="6"/>
    <n v="0"/>
    <n v="1"/>
    <m/>
  </r>
  <r>
    <s v="0002883328"/>
    <x v="0"/>
    <s v="High"/>
    <x v="1"/>
    <s v="RNAM"/>
    <s v="LINUX BROADCAST MANAGEMENT CENTER"/>
    <x v="2"/>
    <s v="#/#"/>
    <x v="0"/>
    <s v="Not assigned"/>
    <s v="#"/>
    <s v="Finished"/>
    <x v="97"/>
    <m/>
    <m/>
    <x v="2"/>
    <n v="1"/>
    <n v="0.23346064814814799"/>
    <n v="0.23346064814814799"/>
    <n v="0"/>
    <n v="1"/>
    <n v="0.23195601851851899"/>
    <n v="28"/>
    <n v="0.5"/>
    <n v="0.5"/>
    <n v="0"/>
    <n v="1"/>
    <m/>
  </r>
  <r>
    <s v="0002883351"/>
    <x v="0"/>
    <s v="Emergency"/>
    <x v="1"/>
    <s v="RNAM"/>
    <s v="LINUX BROADCAST DELIVERY CENTER"/>
    <x v="4"/>
    <s v="#/#"/>
    <x v="2"/>
    <s v="EJJEWWN"/>
    <s v="#"/>
    <s v="Finished"/>
    <x v="97"/>
    <d v="2015-11-13T00:00:00"/>
    <d v="2015-11-13T00:00:00"/>
    <x v="2"/>
    <n v="1"/>
    <n v="0.135717592592593"/>
    <n v="0.135717592592593"/>
    <n v="1"/>
    <n v="1"/>
    <n v="0.119594907407407"/>
    <n v="3"/>
    <n v="1"/>
    <n v="1"/>
    <n v="0"/>
    <n v="1"/>
    <m/>
  </r>
  <r>
    <s v="0002883509"/>
    <x v="0"/>
    <s v="Low"/>
    <x v="1"/>
    <s v="RNAM"/>
    <s v="LINUX BROADCAST DELIVERY CENTER"/>
    <x v="4"/>
    <s v="#/#"/>
    <x v="0"/>
    <s v="Not assigned"/>
    <s v="#"/>
    <s v="Finished"/>
    <x v="97"/>
    <m/>
    <m/>
    <x v="6"/>
    <n v="1"/>
    <n v="132.999780092593"/>
    <n v="132.99991898148201"/>
    <n v="0"/>
    <n v="1"/>
    <n v="132.999456018518"/>
    <n v="140"/>
    <n v="16"/>
    <n v="16"/>
    <n v="0"/>
    <n v="1"/>
    <m/>
  </r>
  <r>
    <s v="0002883510"/>
    <x v="0"/>
    <s v="Low"/>
    <x v="1"/>
    <s v="RNAM"/>
    <s v="LINUX BROADCAST DELIVERY CENTER"/>
    <x v="4"/>
    <s v="#/#"/>
    <x v="0"/>
    <s v="Not assigned"/>
    <s v="#"/>
    <s v="Finished"/>
    <x v="97"/>
    <m/>
    <m/>
    <x v="12"/>
    <n v="1"/>
    <n v="146.829375"/>
    <n v="193.97693287037001"/>
    <n v="0"/>
    <n v="1"/>
    <n v="146.828553240741"/>
    <n v="140"/>
    <n v="17"/>
    <n v="17"/>
    <n v="0"/>
    <n v="0"/>
    <m/>
  </r>
  <r>
    <s v="0002883511"/>
    <x v="0"/>
    <s v="Low"/>
    <x v="1"/>
    <s v="RNAM"/>
    <s v="LINUX BROADCAST DELIVERY CENTER"/>
    <x v="4"/>
    <s v="#/#"/>
    <x v="0"/>
    <s v="Not assigned"/>
    <s v="#"/>
    <s v="Finished"/>
    <x v="97"/>
    <m/>
    <m/>
    <x v="7"/>
    <n v="1"/>
    <n v="133.000706018519"/>
    <n v="133.00105324074099"/>
    <n v="0"/>
    <n v="1"/>
    <n v="132.99927083333299"/>
    <n v="140"/>
    <n v="22"/>
    <n v="22"/>
    <n v="0"/>
    <n v="1"/>
    <m/>
  </r>
  <r>
    <s v="0002883512"/>
    <x v="0"/>
    <s v="Medium"/>
    <x v="1"/>
    <s v="RNAM"/>
    <s v="LINUX BROADCAST DELIVERY CENTER"/>
    <x v="4"/>
    <s v="#/#"/>
    <x v="0"/>
    <s v="Not assigned"/>
    <s v="#"/>
    <s v="Finished"/>
    <x v="97"/>
    <m/>
    <m/>
    <x v="12"/>
    <n v="1"/>
    <n v="37.9401041666667"/>
    <n v="89.246724537036997"/>
    <n v="0"/>
    <n v="1"/>
    <n v="37.939768518518498"/>
    <n v="56"/>
    <n v="22"/>
    <n v="22"/>
    <n v="0"/>
    <n v="1"/>
    <m/>
  </r>
  <r>
    <s v="0002883524"/>
    <x v="0"/>
    <s v="Medium"/>
    <x v="1"/>
    <s v="RNAM"/>
    <s v="LINUX BROADCAST DELIVERY CENTER"/>
    <x v="4"/>
    <s v="#/#"/>
    <x v="0"/>
    <s v="Not assigned"/>
    <s v="#"/>
    <s v="Finished"/>
    <x v="97"/>
    <m/>
    <m/>
    <x v="12"/>
    <n v="1"/>
    <n v="37.935173611111097"/>
    <n v="89.243090277777796"/>
    <n v="0"/>
    <n v="1"/>
    <n v="37.934803240740699"/>
    <n v="56"/>
    <n v="23"/>
    <n v="23"/>
    <n v="0"/>
    <n v="1"/>
    <m/>
  </r>
  <r>
    <s v="0002883525"/>
    <x v="0"/>
    <s v="Low"/>
    <x v="1"/>
    <s v="RNAM"/>
    <s v="LINUX BROADCAST DELIVERY CENTER"/>
    <x v="4"/>
    <s v="#/#"/>
    <x v="0"/>
    <s v="Not assigned"/>
    <s v="#"/>
    <s v="Finished"/>
    <x v="97"/>
    <m/>
    <m/>
    <x v="12"/>
    <n v="1"/>
    <n v="146.814016203704"/>
    <n v="193.97144675925901"/>
    <n v="0"/>
    <n v="1"/>
    <n v="146.81350694444399"/>
    <n v="140"/>
    <n v="19.5"/>
    <n v="19.5"/>
    <n v="0"/>
    <n v="0"/>
    <m/>
  </r>
  <r>
    <s v="0002883526"/>
    <x v="0"/>
    <s v="Medium"/>
    <x v="1"/>
    <s v="RNAM"/>
    <s v="LINUX BROADCAST MANAGEMENT CENTER"/>
    <x v="5"/>
    <s v="#/#"/>
    <x v="0"/>
    <s v="Not assigned"/>
    <s v="#"/>
    <s v="Finished"/>
    <x v="97"/>
    <m/>
    <m/>
    <x v="16"/>
    <n v="1"/>
    <n v="96.868761574074099"/>
    <n v="104.774664351852"/>
    <n v="0"/>
    <n v="1"/>
    <n v="96.868495370370397"/>
    <n v="56"/>
    <n v="16.75"/>
    <n v="16.75"/>
    <n v="0"/>
    <n v="0"/>
    <m/>
  </r>
  <r>
    <s v="0002883527"/>
    <x v="0"/>
    <s v="Medium"/>
    <x v="1"/>
    <s v="RNAM"/>
    <s v="LINUX BROADCAST MANAGEMENT CENTER"/>
    <x v="5"/>
    <s v="#/#"/>
    <x v="0"/>
    <s v="Not assigned"/>
    <s v="#"/>
    <s v="Finished"/>
    <x v="97"/>
    <m/>
    <m/>
    <x v="16"/>
    <n v="1"/>
    <n v="96.885555555555598"/>
    <n v="104.77306712962999"/>
    <n v="0"/>
    <n v="1"/>
    <n v="96.885277777777802"/>
    <n v="56"/>
    <n v="14.5"/>
    <n v="14.5"/>
    <n v="0"/>
    <n v="0"/>
    <m/>
  </r>
  <r>
    <s v="0002883529"/>
    <x v="0"/>
    <s v="Medium"/>
    <x v="1"/>
    <s v="RNAM"/>
    <s v="LINUX BROADCAST MANAGEMENT CENTER"/>
    <x v="5"/>
    <s v="#/#"/>
    <x v="0"/>
    <s v="Not assigned"/>
    <s v="#"/>
    <s v="Finished"/>
    <x v="97"/>
    <m/>
    <m/>
    <x v="16"/>
    <n v="1"/>
    <n v="96.864328703703706"/>
    <n v="104.77155092592599"/>
    <n v="0"/>
    <n v="1"/>
    <n v="96.863854166666698"/>
    <n v="56"/>
    <n v="14.5"/>
    <n v="14.5"/>
    <n v="0"/>
    <n v="0"/>
    <m/>
  </r>
  <r>
    <s v="0002883530"/>
    <x v="0"/>
    <s v="Medium"/>
    <x v="1"/>
    <s v="RNAM"/>
    <s v="LINUX BROADCAST MANAGEMENT CENTER"/>
    <x v="5"/>
    <s v="#/#"/>
    <x v="0"/>
    <s v="Not assigned"/>
    <s v="#"/>
    <s v="Finished"/>
    <x v="97"/>
    <m/>
    <m/>
    <x v="12"/>
    <n v="1"/>
    <n v="37.928194444444401"/>
    <n v="89.254398148148198"/>
    <n v="0"/>
    <n v="1"/>
    <n v="37.926273148148198"/>
    <n v="56"/>
    <n v="23"/>
    <n v="23"/>
    <n v="0"/>
    <n v="1"/>
    <m/>
  </r>
  <r>
    <s v="0002883532"/>
    <x v="0"/>
    <s v="Medium"/>
    <x v="1"/>
    <s v="RNAM"/>
    <s v="LINUX BROADCAST MANAGEMENT CENTER"/>
    <x v="5"/>
    <s v="#/#"/>
    <x v="0"/>
    <s v="Not assigned"/>
    <s v="#"/>
    <s v="Finished"/>
    <x v="97"/>
    <m/>
    <m/>
    <x v="12"/>
    <n v="1"/>
    <n v="37.924027777777802"/>
    <n v="89.228958333333296"/>
    <n v="0"/>
    <n v="1"/>
    <n v="37.923402777777802"/>
    <n v="56"/>
    <n v="23"/>
    <n v="23"/>
    <n v="0"/>
    <n v="1"/>
    <m/>
  </r>
  <r>
    <s v="0002883534"/>
    <x v="0"/>
    <s v="Medium"/>
    <x v="1"/>
    <s v="RNAM"/>
    <s v="LINUX BROADCAST MANAGEMENT CENTER"/>
    <x v="5"/>
    <s v="#/#"/>
    <x v="0"/>
    <s v="Not assigned"/>
    <s v="#"/>
    <s v="Finished"/>
    <x v="97"/>
    <m/>
    <m/>
    <x v="16"/>
    <n v="1"/>
    <n v="83.831493055555597"/>
    <n v="87.299351851851895"/>
    <n v="0"/>
    <n v="1"/>
    <n v="83.829583333333304"/>
    <n v="56"/>
    <n v="12"/>
    <n v="12"/>
    <n v="0"/>
    <n v="0"/>
    <m/>
  </r>
  <r>
    <s v="0002883535"/>
    <x v="0"/>
    <s v="Medium"/>
    <x v="1"/>
    <s v="RNAM"/>
    <s v="LINUX BROADCAST DELIVERY CENTER"/>
    <x v="4"/>
    <s v="#/#"/>
    <x v="0"/>
    <s v="Not assigned"/>
    <s v="#"/>
    <s v="Finished"/>
    <x v="97"/>
    <m/>
    <m/>
    <x v="2"/>
    <n v="1"/>
    <n v="87.126412037036999"/>
    <n v="87.126597222222202"/>
    <n v="0"/>
    <n v="1"/>
    <n v="87.125775462963006"/>
    <n v="56"/>
    <n v="17.5"/>
    <n v="17.5"/>
    <n v="0"/>
    <n v="0"/>
    <m/>
  </r>
  <r>
    <s v="0002883550"/>
    <x v="0"/>
    <s v="Medium"/>
    <x v="1"/>
    <s v="RNAM"/>
    <s v="LINUX BROADCAST DELIVERY CENTER"/>
    <x v="4"/>
    <s v="#/#"/>
    <x v="0"/>
    <s v="Not assigned"/>
    <s v="#"/>
    <s v="Finished"/>
    <x v="97"/>
    <m/>
    <m/>
    <x v="12"/>
    <n v="1"/>
    <n v="67.741817129629595"/>
    <n v="67.741817129629595"/>
    <n v="0"/>
    <n v="1"/>
    <n v="66.968020833333298"/>
    <n v="56"/>
    <n v="3.75"/>
    <n v="3.75"/>
    <n v="0"/>
    <n v="0"/>
    <m/>
  </r>
  <r>
    <s v="0002884518"/>
    <x v="3"/>
    <s v="Low"/>
    <x v="1"/>
    <s v="RNAM"/>
    <s v="LINUX BROADCAST MANAGEMENT CENTER"/>
    <x v="5"/>
    <s v="#/#"/>
    <x v="0"/>
    <s v="Not assigned"/>
    <s v="#"/>
    <s v="Finished"/>
    <x v="98"/>
    <m/>
    <m/>
    <x v="0"/>
    <n v="1"/>
    <n v="0.26582175925925899"/>
    <n v="0.26582175925925899"/>
    <n v="0"/>
    <n v="1"/>
    <n v="0.26427083333333301"/>
    <n v="140"/>
    <n v="1.5"/>
    <n v="1.5"/>
    <n v="0"/>
    <n v="1"/>
    <m/>
  </r>
  <r>
    <s v="0002890853"/>
    <x v="0"/>
    <s v="Medium"/>
    <x v="1"/>
    <s v="RNAM"/>
    <s v="LINUX BROADCAST MANAGEMENT CENTER"/>
    <x v="5"/>
    <s v="#/#"/>
    <x v="1"/>
    <s v="EXUYUFE"/>
    <s v="#"/>
    <s v="Finished"/>
    <x v="99"/>
    <d v="2015-12-02T00:00:00"/>
    <d v="2016-01-13T00:00:00"/>
    <x v="4"/>
    <n v="1"/>
    <n v="48.803067129629603"/>
    <n v="90.046608796296297"/>
    <n v="1"/>
    <n v="1"/>
    <n v="48.801967592592597"/>
    <n v="56"/>
    <n v="40"/>
    <n v="7"/>
    <n v="33"/>
    <n v="1"/>
    <m/>
  </r>
  <r>
    <s v="0002895095"/>
    <x v="0"/>
    <s v="Low"/>
    <x v="1"/>
    <s v="RNAM"/>
    <s v="LINUX BROADCAST MANAGEMENT CENTER"/>
    <x v="5"/>
    <s v="#/#"/>
    <x v="1"/>
    <s v="EXUYUFE"/>
    <s v="#"/>
    <s v="Finished"/>
    <x v="100"/>
    <d v="2015-12-08T00:00:00"/>
    <d v="2016-01-14T00:00:00"/>
    <x v="12"/>
    <n v="1"/>
    <n v="44.134872685185201"/>
    <n v="44.134872685185201"/>
    <n v="1"/>
    <n v="1"/>
    <n v="44.133564814814797"/>
    <n v="140"/>
    <n v="21.25"/>
    <n v="9.25"/>
    <n v="12"/>
    <n v="1"/>
    <m/>
  </r>
  <r>
    <s v="0002895884"/>
    <x v="0"/>
    <s v="High"/>
    <x v="1"/>
    <s v="RNAM"/>
    <s v="LINUX BROADCAST DELIVERY CENTER"/>
    <x v="4"/>
    <s v="#/#"/>
    <x v="0"/>
    <s v="Not assigned"/>
    <s v="#"/>
    <s v="Finished"/>
    <x v="101"/>
    <m/>
    <m/>
    <x v="2"/>
    <n v="1"/>
    <n v="9.28240740740741E-2"/>
    <n v="9.28240740740741E-2"/>
    <n v="0"/>
    <n v="1"/>
    <n v="9.1643518518518499E-2"/>
    <n v="28"/>
    <n v="1"/>
    <n v="1"/>
    <n v="0"/>
    <n v="1"/>
    <m/>
  </r>
  <r>
    <s v="0002896640"/>
    <x v="0"/>
    <s v="Medium"/>
    <x v="1"/>
    <s v="RNAM"/>
    <s v="LINUX BROADCAST DELIVERY CENTER"/>
    <x v="4"/>
    <s v="#/#"/>
    <x v="1"/>
    <s v="EXUYUFE"/>
    <s v="#"/>
    <s v="Finished"/>
    <x v="102"/>
    <d v="2015-12-05T00:00:00"/>
    <d v="2015-12-31T00:00:00"/>
    <x v="16"/>
    <n v="1"/>
    <n v="55.226261574074101"/>
    <n v="55.226261574074101"/>
    <n v="1"/>
    <n v="1"/>
    <n v="35.3223611111111"/>
    <n v="56"/>
    <n v="20"/>
    <n v="8"/>
    <n v="12"/>
    <n v="1"/>
    <m/>
  </r>
  <r>
    <s v="0002899606"/>
    <x v="0"/>
    <s v="Medium"/>
    <x v="1"/>
    <s v="RNAM"/>
    <s v="LINUX BROADCAST MANAGEMENT CENTER"/>
    <x v="2"/>
    <s v="#/#"/>
    <x v="1"/>
    <s v="EZINZNG"/>
    <s v="#"/>
    <s v="Finished"/>
    <x v="103"/>
    <d v="2015-12-11T00:00:00"/>
    <d v="2016-01-11T00:00:00"/>
    <x v="2"/>
    <n v="1"/>
    <n v="32.754375000000003"/>
    <n v="32.754375000000003"/>
    <n v="1"/>
    <n v="1"/>
    <n v="32.753564814814801"/>
    <n v="56"/>
    <n v="20.5"/>
    <n v="5.5"/>
    <n v="15"/>
    <n v="1"/>
    <m/>
  </r>
  <r>
    <s v="0002902217"/>
    <x v="0"/>
    <s v="Low"/>
    <x v="1"/>
    <s v="RNAM"/>
    <s v="LINUX BROADCAST MANAGEMENT CENTER"/>
    <x v="5"/>
    <s v="#/#"/>
    <x v="0"/>
    <s v="Not assigned"/>
    <s v="#"/>
    <s v="Finished"/>
    <x v="104"/>
    <m/>
    <m/>
    <x v="16"/>
    <n v="1"/>
    <n v="76.152662037037004"/>
    <n v="101.09452546296301"/>
    <n v="0"/>
    <n v="1"/>
    <n v="71.208483796296306"/>
    <n v="140"/>
    <n v="7"/>
    <n v="7"/>
    <n v="0"/>
    <n v="1"/>
    <m/>
  </r>
  <r>
    <s v="0002903023"/>
    <x v="0"/>
    <s v="Medium"/>
    <x v="1"/>
    <s v="RNAM"/>
    <s v="LINUX BROADCAST DELIVERY CENTER"/>
    <x v="4"/>
    <s v="#/#"/>
    <x v="0"/>
    <s v="Not assigned"/>
    <s v="#"/>
    <s v="Finished"/>
    <x v="105"/>
    <m/>
    <m/>
    <x v="7"/>
    <n v="1"/>
    <n v="44.169166666666698"/>
    <n v="44.169166666666698"/>
    <n v="0"/>
    <n v="1"/>
    <n v="28.350381944444401"/>
    <n v="56"/>
    <n v="30"/>
    <n v="30"/>
    <n v="0"/>
    <n v="1"/>
    <m/>
  </r>
  <r>
    <s v="0002903064"/>
    <x v="0"/>
    <s v="High"/>
    <x v="1"/>
    <s v="RNAM"/>
    <s v="LINUX BROADCAST DELIVERY CENTER"/>
    <x v="4"/>
    <s v="#/#"/>
    <x v="0"/>
    <s v="Not assigned"/>
    <s v="#"/>
    <s v="Finished"/>
    <x v="105"/>
    <m/>
    <m/>
    <x v="0"/>
    <n v="1"/>
    <n v="24.051944444444398"/>
    <n v="24.051944444444398"/>
    <n v="0"/>
    <n v="1"/>
    <n v="3.2669907407407401"/>
    <n v="28"/>
    <n v="9"/>
    <n v="9"/>
    <n v="0"/>
    <n v="1"/>
    <m/>
  </r>
  <r>
    <s v="0002903157"/>
    <x v="1"/>
    <s v="Medium"/>
    <x v="7"/>
    <s v="RNAM"/>
    <s v="LINUX BROADCAST DELIVERY CENTER"/>
    <x v="4"/>
    <s v="#/#"/>
    <x v="1"/>
    <s v="EZINZNG"/>
    <s v="#"/>
    <s v="Finished"/>
    <x v="105"/>
    <d v="2015-12-16T00:00:00"/>
    <d v="2016-01-12T00:00:00"/>
    <x v="0"/>
    <n v="1"/>
    <n v="30.8558680555556"/>
    <n v="30.8558680555556"/>
    <n v="1"/>
    <n v="1"/>
    <n v="29.070092592592601"/>
    <n v="56"/>
    <n v="7.5"/>
    <n v="1.5"/>
    <n v="6"/>
    <n v="1"/>
    <m/>
  </r>
  <r>
    <s v="0002905004"/>
    <x v="0"/>
    <s v="Medium"/>
    <x v="1"/>
    <s v="RNAM"/>
    <s v="LINUX BROADCAST MANAGEMENT CENTER"/>
    <x v="5"/>
    <s v="#/#"/>
    <x v="0"/>
    <s v="Not assigned"/>
    <s v="#"/>
    <s v="Finished"/>
    <x v="106"/>
    <m/>
    <m/>
    <x v="16"/>
    <n v="1"/>
    <n v="1.0150694444444399"/>
    <n v="88.924675925925897"/>
    <n v="0"/>
    <n v="1"/>
    <n v="1.014375"/>
    <n v="56"/>
    <n v="20.5"/>
    <n v="20.5"/>
    <n v="0"/>
    <n v="1"/>
    <m/>
  </r>
  <r>
    <s v="0002906731"/>
    <x v="0"/>
    <s v="Low"/>
    <x v="1"/>
    <s v="RNAM"/>
    <s v="LINUX BROADCAST MANAGEMENT CENTER"/>
    <x v="5"/>
    <s v="#/#"/>
    <x v="0"/>
    <s v="Not assigned"/>
    <s v="#"/>
    <s v="Finished"/>
    <x v="107"/>
    <m/>
    <m/>
    <x v="9"/>
    <n v="1"/>
    <n v="37.9707986111111"/>
    <n v="37.9707986111111"/>
    <n v="0"/>
    <n v="1"/>
    <n v="37.969965277777803"/>
    <n v="140"/>
    <n v="24"/>
    <n v="24"/>
    <n v="0"/>
    <n v="1"/>
    <m/>
  </r>
  <r>
    <s v="0002909849"/>
    <x v="0"/>
    <s v="Low"/>
    <x v="1"/>
    <s v="RNAM"/>
    <s v="LINUX BROADCAST DELIVERY CENTER"/>
    <x v="4"/>
    <s v="#/#"/>
    <x v="0"/>
    <s v="Not assigned"/>
    <s v="#"/>
    <s v="Finished"/>
    <x v="108"/>
    <m/>
    <m/>
    <x v="2"/>
    <n v="1"/>
    <n v="57.044085648148098"/>
    <n v="57.046377314814798"/>
    <n v="0"/>
    <n v="1"/>
    <n v="57.043425925925902"/>
    <n v="140"/>
    <n v="0"/>
    <n v="0"/>
    <n v="0"/>
    <n v="1"/>
    <m/>
  </r>
  <r>
    <s v="0002909889"/>
    <x v="0"/>
    <s v="Medium"/>
    <x v="1"/>
    <s v="RNAM"/>
    <s v="LINUX BROADCAST MANAGEMENT CENTER"/>
    <x v="5"/>
    <s v="#/#"/>
    <x v="0"/>
    <s v="Not assigned"/>
    <s v="#"/>
    <s v="Finished"/>
    <x v="108"/>
    <m/>
    <m/>
    <x v="0"/>
    <n v="1"/>
    <n v="2.2369791666666701"/>
    <n v="2.2369791666666701"/>
    <n v="0"/>
    <n v="1"/>
    <n v="2.2228587962963"/>
    <n v="56"/>
    <n v="5"/>
    <n v="5"/>
    <n v="0"/>
    <n v="1"/>
    <m/>
  </r>
  <r>
    <s v="0002909944"/>
    <x v="0"/>
    <s v="Low"/>
    <x v="1"/>
    <s v="RNAM"/>
    <s v="LINUX BROADCAST DELIVERY CENTER"/>
    <x v="4"/>
    <s v="#/#"/>
    <x v="0"/>
    <s v="Not assigned"/>
    <s v="#"/>
    <s v="Finished"/>
    <x v="108"/>
    <m/>
    <m/>
    <x v="2"/>
    <n v="1"/>
    <n v="20.827905092592601"/>
    <n v="20.827905092592601"/>
    <n v="0"/>
    <n v="1"/>
    <n v="20.826134259259302"/>
    <n v="140"/>
    <n v="0.5"/>
    <n v="0.5"/>
    <n v="0"/>
    <n v="1"/>
    <m/>
  </r>
  <r>
    <s v="0002910325"/>
    <x v="0"/>
    <s v="High"/>
    <x v="1"/>
    <s v="RNAM"/>
    <s v="LINUX BROADCAST DELIVERY CENTER"/>
    <x v="4"/>
    <s v="#/#"/>
    <x v="1"/>
    <s v="EXUYUFE"/>
    <s v="#"/>
    <s v="Finished"/>
    <x v="109"/>
    <d v="2016-01-04T00:00:00"/>
    <d v="2016-01-19T00:00:00"/>
    <x v="12"/>
    <n v="1"/>
    <n v="20.080474537036999"/>
    <n v="20.080474537036999"/>
    <n v="1"/>
    <n v="1"/>
    <n v="20.0795833333333"/>
    <n v="28"/>
    <n v="21"/>
    <n v="9"/>
    <n v="12"/>
    <n v="1"/>
    <m/>
  </r>
  <r>
    <s v="0002914454"/>
    <x v="0"/>
    <s v="High"/>
    <x v="1"/>
    <s v="RNAM"/>
    <s v="LINUX BROADCAST MANAGEMENT CENTER"/>
    <x v="5"/>
    <s v="#/#"/>
    <x v="0"/>
    <s v="Not assigned"/>
    <s v="#"/>
    <s v="Finished"/>
    <x v="110"/>
    <m/>
    <m/>
    <x v="12"/>
    <n v="1"/>
    <n v="0.30146990740740698"/>
    <n v="0.30146990740740698"/>
    <n v="0"/>
    <n v="1"/>
    <n v="0.29971064814814802"/>
    <n v="28"/>
    <n v="2"/>
    <n v="2"/>
    <n v="0"/>
    <n v="1"/>
    <m/>
  </r>
  <r>
    <s v="0002917894"/>
    <x v="0"/>
    <s v="High"/>
    <x v="1"/>
    <s v="RNAM"/>
    <s v="LINUX BROADCAST DELIVERY CENTER"/>
    <x v="4"/>
    <s v="#/#"/>
    <x v="0"/>
    <s v="Not assigned"/>
    <s v="#"/>
    <s v="Finished"/>
    <x v="111"/>
    <m/>
    <m/>
    <x v="12"/>
    <n v="1"/>
    <n v="0.19187499999999999"/>
    <n v="0.19187499999999999"/>
    <n v="0"/>
    <n v="1"/>
    <n v="0.19049768518518501"/>
    <n v="28"/>
    <n v="2"/>
    <n v="2"/>
    <n v="0"/>
    <n v="1"/>
    <m/>
  </r>
  <r>
    <s v="0002917924"/>
    <x v="0"/>
    <s v="Medium"/>
    <x v="1"/>
    <s v="RNAM"/>
    <s v="LINUX BROADCAST MANAGEMENT CENTER"/>
    <x v="5"/>
    <s v="#/#"/>
    <x v="0"/>
    <s v="Not assigned"/>
    <s v="#"/>
    <s v="Finished"/>
    <x v="111"/>
    <m/>
    <m/>
    <x v="12"/>
    <n v="1"/>
    <n v="0.110613425925926"/>
    <n v="0.110613425925926"/>
    <n v="0"/>
    <n v="1"/>
    <n v="9.0312500000000004E-2"/>
    <n v="56"/>
    <n v="2"/>
    <n v="2"/>
    <n v="0"/>
    <n v="1"/>
    <m/>
  </r>
  <r>
    <s v="0002919416"/>
    <x v="0"/>
    <s v="Medium"/>
    <x v="1"/>
    <s v="RNAM"/>
    <s v="LINUX BROADCAST DELIVERY CENTER"/>
    <x v="4"/>
    <s v="#/#"/>
    <x v="1"/>
    <s v="EZINZNG"/>
    <s v="#"/>
    <s v="Finished"/>
    <x v="112"/>
    <d v="2016-01-26T00:00:00"/>
    <d v="2016-02-16T00:00:00"/>
    <x v="7"/>
    <n v="1"/>
    <n v="29.398912037037"/>
    <n v="61.342557870370399"/>
    <n v="1"/>
    <n v="1"/>
    <n v="29.397465277777801"/>
    <n v="56"/>
    <n v="9"/>
    <n v="5"/>
    <n v="4"/>
    <n v="1"/>
    <m/>
  </r>
  <r>
    <s v="0002922669"/>
    <x v="0"/>
    <s v="Medium"/>
    <x v="1"/>
    <s v="RNAM"/>
    <s v="LINUX BROADCAST DELIVERY CENTER"/>
    <x v="4"/>
    <s v="#/#"/>
    <x v="0"/>
    <s v="Not assigned"/>
    <s v="#"/>
    <s v="Finished"/>
    <x v="113"/>
    <m/>
    <m/>
    <x v="0"/>
    <n v="1"/>
    <n v="4.3799305555555597"/>
    <n v="57.245925925925903"/>
    <n v="0"/>
    <n v="1"/>
    <n v="4.3796759259259304"/>
    <n v="56"/>
    <n v="6"/>
    <n v="6"/>
    <n v="0"/>
    <n v="1"/>
    <m/>
  </r>
  <r>
    <s v="0002922671"/>
    <x v="0"/>
    <s v="Medium"/>
    <x v="1"/>
    <s v="RNAM"/>
    <s v="LINUX BROADCAST DELIVERY CENTER"/>
    <x v="4"/>
    <s v="#/#"/>
    <x v="0"/>
    <s v="Not assigned"/>
    <s v="#"/>
    <s v="Finished"/>
    <x v="113"/>
    <m/>
    <m/>
    <x v="15"/>
    <n v="1"/>
    <n v="4.3655671296296301"/>
    <n v="4.3655671296296301"/>
    <n v="0"/>
    <n v="1"/>
    <n v="4.3643981481481502"/>
    <n v="56"/>
    <n v="3"/>
    <n v="3"/>
    <n v="0"/>
    <n v="1"/>
    <m/>
  </r>
  <r>
    <s v="0002923720"/>
    <x v="0"/>
    <s v="Medium"/>
    <x v="1"/>
    <s v="RNAM"/>
    <s v="LINUX BROADCAST DELIVERY CENTER"/>
    <x v="4"/>
    <s v="#/#"/>
    <x v="0"/>
    <s v="Not assigned"/>
    <s v="#"/>
    <s v="Finished"/>
    <x v="114"/>
    <m/>
    <m/>
    <x v="12"/>
    <n v="1"/>
    <n v="1.42928240740741"/>
    <n v="59.242326388888898"/>
    <n v="0"/>
    <n v="1"/>
    <n v="1.4282638888888901"/>
    <n v="56"/>
    <n v="6.5"/>
    <n v="6.5"/>
    <n v="0"/>
    <n v="1"/>
    <m/>
  </r>
  <r>
    <s v="0002923821"/>
    <x v="0"/>
    <s v="High"/>
    <x v="1"/>
    <s v="RNAM"/>
    <s v="LINUX BROADCAST MANAGEMENT CENTER"/>
    <x v="5"/>
    <s v="#/#"/>
    <x v="0"/>
    <s v="Not assigned"/>
    <s v="#"/>
    <s v="Finished"/>
    <x v="114"/>
    <m/>
    <m/>
    <x v="12"/>
    <n v="1"/>
    <n v="2.1682523148148101"/>
    <n v="2.1682523148148101"/>
    <n v="0"/>
    <n v="1"/>
    <n v="2.1662152777777801"/>
    <n v="28"/>
    <n v="2"/>
    <n v="2"/>
    <n v="0"/>
    <n v="1"/>
    <m/>
  </r>
  <r>
    <s v="0002925372"/>
    <x v="0"/>
    <s v="Medium"/>
    <x v="1"/>
    <s v="RNAM"/>
    <s v="LINUX BROADCAST MANAGEMENT CENTER"/>
    <x v="5"/>
    <s v="#/#"/>
    <x v="0"/>
    <s v="Not assigned"/>
    <s v="#"/>
    <s v="Finished"/>
    <x v="115"/>
    <m/>
    <m/>
    <x v="12"/>
    <n v="1"/>
    <n v="1.3092939814814799"/>
    <n v="1.3092939814814799"/>
    <n v="0"/>
    <n v="1"/>
    <n v="1.3076157407407401"/>
    <n v="56"/>
    <n v="4.5"/>
    <n v="4.5"/>
    <n v="0"/>
    <n v="1"/>
    <m/>
  </r>
  <r>
    <s v="0002928352"/>
    <x v="0"/>
    <s v="Low"/>
    <x v="4"/>
    <s v="RASO"/>
    <s v="LINUX BROADCAST DELIVERY CENTER"/>
    <x v="3"/>
    <s v="#/#"/>
    <x v="1"/>
    <s v="EZINZNG"/>
    <s v="#"/>
    <s v="Finished"/>
    <x v="116"/>
    <d v="2016-02-03T00:00:00"/>
    <d v="2016-03-09T00:00:00"/>
    <x v="2"/>
    <n v="1"/>
    <n v="24.876006944444399"/>
    <n v="45.055532407407398"/>
    <n v="1"/>
    <n v="1"/>
    <n v="24.875567129629601"/>
    <n v="30"/>
    <n v="4"/>
    <n v="4"/>
    <n v="0"/>
    <n v="1"/>
    <m/>
  </r>
  <r>
    <s v="0002928404"/>
    <x v="0"/>
    <s v="Low"/>
    <x v="4"/>
    <s v="RASO"/>
    <s v="LINUX BROADCAST DELIVERY CENTER"/>
    <x v="3"/>
    <s v="#/#"/>
    <x v="1"/>
    <s v="EZINZNG"/>
    <s v="#"/>
    <s v="Finished"/>
    <x v="116"/>
    <d v="2016-02-03T00:00:00"/>
    <d v="2016-03-09T00:00:00"/>
    <x v="14"/>
    <n v="1"/>
    <n v="24.879039351851901"/>
    <n v="45.055046296296297"/>
    <n v="1"/>
    <n v="1"/>
    <n v="24.878599537037001"/>
    <n v="30"/>
    <n v="6"/>
    <n v="4"/>
    <n v="2"/>
    <n v="1"/>
    <m/>
  </r>
  <r>
    <s v="0002932594"/>
    <x v="0"/>
    <s v="Medium"/>
    <x v="1"/>
    <s v="RNAM"/>
    <s v="LINUX BROADCAST MANAGEMENT CENTER"/>
    <x v="5"/>
    <s v="#/#"/>
    <x v="0"/>
    <s v="Not assigned"/>
    <s v="#"/>
    <s v="Finished"/>
    <x v="117"/>
    <m/>
    <m/>
    <x v="16"/>
    <n v="1"/>
    <n v="7.9299074074074101"/>
    <n v="7.9638657407407401"/>
    <n v="0"/>
    <n v="1"/>
    <n v="7.9297106481481503"/>
    <n v="56"/>
    <n v="8.5"/>
    <n v="8.5"/>
    <n v="0"/>
    <n v="1"/>
    <m/>
  </r>
  <r>
    <s v="0002932596"/>
    <x v="0"/>
    <s v="Medium"/>
    <x v="1"/>
    <s v="RNAM"/>
    <s v="LINUX BROADCAST MANAGEMENT CENTER"/>
    <x v="5"/>
    <s v="#/#"/>
    <x v="0"/>
    <s v="Not assigned"/>
    <s v="#"/>
    <s v="Finished"/>
    <x v="118"/>
    <m/>
    <m/>
    <x v="16"/>
    <n v="1"/>
    <n v="7.9106249999999996"/>
    <n v="7.9415624999999999"/>
    <n v="0"/>
    <n v="1"/>
    <n v="7.9101620370370398"/>
    <n v="56"/>
    <n v="4.5"/>
    <n v="4.5"/>
    <n v="0"/>
    <n v="1"/>
    <m/>
  </r>
  <r>
    <s v="0002932675"/>
    <x v="0"/>
    <s v="Medium"/>
    <x v="1"/>
    <s v="RNAM"/>
    <s v="LINUX BROADCAST DELIVERY CENTER"/>
    <x v="4"/>
    <s v="#/#"/>
    <x v="0"/>
    <s v="Not assigned"/>
    <s v="#"/>
    <s v="Finished"/>
    <x v="118"/>
    <m/>
    <m/>
    <x v="2"/>
    <n v="1"/>
    <n v="8.5221527777777801"/>
    <n v="14.605162037036999"/>
    <n v="0"/>
    <n v="1"/>
    <n v="8.5218055555555594"/>
    <n v="56"/>
    <n v="1"/>
    <n v="1"/>
    <n v="0"/>
    <n v="1"/>
    <m/>
  </r>
  <r>
    <s v="0002934012"/>
    <x v="0"/>
    <s v="Medium"/>
    <x v="1"/>
    <s v="RNAM"/>
    <s v="LINUX BROADCAST DELIVERY CENTER"/>
    <x v="4"/>
    <s v="#/#"/>
    <x v="0"/>
    <s v="Not assigned"/>
    <s v="#"/>
    <s v="Finished"/>
    <x v="119"/>
    <m/>
    <m/>
    <x v="12"/>
    <n v="1"/>
    <n v="15.825416666666699"/>
    <n v="42.948298611111099"/>
    <n v="0"/>
    <n v="1"/>
    <n v="15.8240277777778"/>
    <n v="56"/>
    <n v="9.5"/>
    <n v="9.5"/>
    <n v="0"/>
    <n v="1"/>
    <m/>
  </r>
  <r>
    <s v="0002934094"/>
    <x v="0"/>
    <s v="Medium"/>
    <x v="1"/>
    <s v="RNAM"/>
    <s v="LINUX BROADCAST DELIVERY CENTER"/>
    <x v="4"/>
    <s v="#/#"/>
    <x v="0"/>
    <s v="Not assigned"/>
    <s v="#"/>
    <s v="Finished"/>
    <x v="119"/>
    <m/>
    <m/>
    <x v="12"/>
    <n v="1"/>
    <n v="15.8256944444444"/>
    <n v="42.9315046296296"/>
    <n v="0"/>
    <n v="1"/>
    <n v="15.8130555555556"/>
    <n v="56"/>
    <n v="9.5"/>
    <n v="9.5"/>
    <n v="0"/>
    <n v="1"/>
    <m/>
  </r>
  <r>
    <s v="0002934097"/>
    <x v="0"/>
    <s v="Medium"/>
    <x v="1"/>
    <s v="RNAM"/>
    <s v="LINUX BROADCAST MANAGEMENT CENTER"/>
    <x v="5"/>
    <s v="#/#"/>
    <x v="0"/>
    <s v="Not assigned"/>
    <s v="#"/>
    <s v="Finished"/>
    <x v="119"/>
    <m/>
    <m/>
    <x v="12"/>
    <n v="1"/>
    <n v="15.802465277777801"/>
    <n v="42.904722222222198"/>
    <n v="0"/>
    <n v="1"/>
    <n v="15.798032407407399"/>
    <n v="56"/>
    <n v="11.5"/>
    <n v="11.5"/>
    <n v="0"/>
    <n v="1"/>
    <m/>
  </r>
  <r>
    <s v="0002934098"/>
    <x v="0"/>
    <s v="Medium"/>
    <x v="1"/>
    <s v="RNAM"/>
    <s v="LINUX BROADCAST MANAGEMENT CENTER"/>
    <x v="5"/>
    <s v="#/#"/>
    <x v="0"/>
    <s v="Not assigned"/>
    <s v="#"/>
    <s v="Finished"/>
    <x v="119"/>
    <m/>
    <m/>
    <x v="12"/>
    <n v="1"/>
    <n v="15.797638888888899"/>
    <n v="42.894004629629599"/>
    <n v="0"/>
    <n v="1"/>
    <n v="15.792210648148201"/>
    <n v="56"/>
    <n v="12.5"/>
    <n v="12.5"/>
    <n v="0"/>
    <n v="1"/>
    <m/>
  </r>
  <r>
    <s v="0002934750"/>
    <x v="0"/>
    <s v="Low"/>
    <x v="1"/>
    <s v="RNAM"/>
    <s v="LINUX BROADCAST MANAGEMENT CENTER"/>
    <x v="5"/>
    <s v="#/#"/>
    <x v="1"/>
    <s v="EZINZNG"/>
    <s v="#"/>
    <s v="Finished"/>
    <x v="119"/>
    <d v="2016-02-11T00:00:00"/>
    <d v="2016-03-15T00:00:00"/>
    <x v="12"/>
    <n v="1"/>
    <n v="32.834421296296298"/>
    <n v="32.835891203703703"/>
    <n v="1"/>
    <n v="1"/>
    <n v="32.834143518518502"/>
    <n v="140"/>
    <n v="10.5"/>
    <n v="9.5"/>
    <n v="1"/>
    <n v="1"/>
    <m/>
  </r>
  <r>
    <s v="0002935302"/>
    <x v="0"/>
    <s v="Medium"/>
    <x v="1"/>
    <s v="RNAM"/>
    <s v="LINUX BROADCAST DELIVERY CENTER"/>
    <x v="4"/>
    <s v="#/#"/>
    <x v="0"/>
    <s v="Not assigned"/>
    <s v="#"/>
    <s v="Finished"/>
    <x v="120"/>
    <m/>
    <m/>
    <x v="16"/>
    <n v="1"/>
    <n v="27.227465277777799"/>
    <n v="47.980023148148199"/>
    <n v="0"/>
    <n v="1"/>
    <n v="27.225960648148099"/>
    <n v="56"/>
    <n v="19.5"/>
    <n v="19.5"/>
    <n v="0"/>
    <n v="1"/>
    <m/>
  </r>
  <r>
    <s v="0002935303"/>
    <x v="0"/>
    <s v="Medium"/>
    <x v="1"/>
    <s v="RNAM"/>
    <s v="LINUX BROADCAST MANAGEMENT CENTER"/>
    <x v="5"/>
    <s v="#/#"/>
    <x v="0"/>
    <s v="Not assigned"/>
    <s v="#"/>
    <s v="Finished"/>
    <x v="120"/>
    <m/>
    <m/>
    <x v="0"/>
    <n v="1"/>
    <n v="11.9581365740741"/>
    <n v="11.9584490740741"/>
    <n v="0"/>
    <n v="1"/>
    <n v="11.9567708333333"/>
    <n v="56"/>
    <n v="8.5"/>
    <n v="8.5"/>
    <n v="0"/>
    <n v="1"/>
    <m/>
  </r>
  <r>
    <s v="0002936478"/>
    <x v="0"/>
    <s v="Medium"/>
    <x v="1"/>
    <s v="RNAM"/>
    <s v="LINUX BROADCAST MANAGEMENT CENTER"/>
    <x v="5"/>
    <s v="#/#"/>
    <x v="0"/>
    <s v="Not assigned"/>
    <s v="#"/>
    <s v="Finished"/>
    <x v="121"/>
    <m/>
    <m/>
    <x v="11"/>
    <n v="1"/>
    <n v="2.2027199074074102"/>
    <n v="2.2028819444444401"/>
    <n v="0"/>
    <n v="1"/>
    <n v="2.20174768518519"/>
    <n v="56"/>
    <n v="2"/>
    <n v="2"/>
    <n v="0"/>
    <n v="1"/>
    <m/>
  </r>
  <r>
    <s v="0002936480"/>
    <x v="0"/>
    <s v="Medium"/>
    <x v="1"/>
    <s v="RNAM"/>
    <s v="LINUX BROADCAST MANAGEMENT CENTER"/>
    <x v="5"/>
    <s v="#/#"/>
    <x v="0"/>
    <s v="Not assigned"/>
    <s v="#"/>
    <s v="Finished"/>
    <x v="121"/>
    <m/>
    <m/>
    <x v="11"/>
    <n v="1"/>
    <n v="2.15869212962963"/>
    <n v="2.1592708333333301"/>
    <n v="0"/>
    <n v="1"/>
    <n v="2.1553240740740698"/>
    <n v="56"/>
    <n v="2"/>
    <n v="2"/>
    <n v="0"/>
    <n v="1"/>
    <m/>
  </r>
  <r>
    <s v="0002937189"/>
    <x v="0"/>
    <s v="Low"/>
    <x v="1"/>
    <s v="RNAM"/>
    <s v="LINUX BROADCAST MANAGEMENT CENTER"/>
    <x v="5"/>
    <s v="#/#"/>
    <x v="1"/>
    <s v="EZINZNG"/>
    <s v="#"/>
    <s v="Finished"/>
    <x v="122"/>
    <d v="2016-02-25T00:00:00"/>
    <d v="2016-03-24T00:00:00"/>
    <x v="7"/>
    <n v="1"/>
    <n v="41.309826388888901"/>
    <n v="44.080532407407397"/>
    <n v="1"/>
    <n v="1"/>
    <n v="41.307615740740701"/>
    <n v="140"/>
    <n v="16.5"/>
    <n v="9.5"/>
    <n v="7"/>
    <n v="1"/>
    <m/>
  </r>
  <r>
    <s v="0002937417"/>
    <x v="0"/>
    <s v="Medium"/>
    <x v="1"/>
    <s v="RNAM"/>
    <s v="LINUX BROADCAST MANAGEMENT CENTER"/>
    <x v="5"/>
    <s v="#/#"/>
    <x v="1"/>
    <s v="ETONXIA"/>
    <s v="#"/>
    <s v="Finished"/>
    <x v="122"/>
    <d v="2016-02-16T00:00:00"/>
    <d v="2016-03-08T00:00:00"/>
    <x v="4"/>
    <n v="1"/>
    <n v="23.100960648148099"/>
    <n v="37.0077314814815"/>
    <n v="1"/>
    <n v="1"/>
    <n v="23.100474537037002"/>
    <n v="56"/>
    <n v="12.5"/>
    <n v="4.5"/>
    <n v="8"/>
    <n v="1"/>
    <m/>
  </r>
  <r>
    <s v="0002937418"/>
    <x v="0"/>
    <s v="Medium"/>
    <x v="1"/>
    <s v="RNAM"/>
    <s v="LINUX BROADCAST DELIVERY CENTER"/>
    <x v="4"/>
    <s v="#/#"/>
    <x v="1"/>
    <s v="ETONXIA"/>
    <s v="#"/>
    <s v="Finished"/>
    <x v="122"/>
    <d v="2016-02-16T00:00:00"/>
    <d v="2016-03-08T00:00:00"/>
    <x v="4"/>
    <n v="1"/>
    <n v="23.105"/>
    <n v="37.005787037037003"/>
    <n v="1"/>
    <n v="1"/>
    <n v="23.104456018518501"/>
    <n v="56"/>
    <n v="13"/>
    <n v="5"/>
    <n v="8"/>
    <n v="1"/>
    <m/>
  </r>
  <r>
    <s v="0002938080"/>
    <x v="0"/>
    <s v="Medium"/>
    <x v="1"/>
    <s v="RNAM"/>
    <s v="LINUX BROADCAST MANAGEMENT CENTER"/>
    <x v="5"/>
    <s v="#/#"/>
    <x v="0"/>
    <s v="Not assigned"/>
    <s v="#"/>
    <s v="Finished"/>
    <x v="123"/>
    <m/>
    <m/>
    <x v="2"/>
    <n v="1"/>
    <n v="6.2978240740740699"/>
    <n v="6.2980439814814799"/>
    <n v="0"/>
    <n v="1"/>
    <n v="6.2970023148148204"/>
    <n v="56"/>
    <n v="3.5"/>
    <n v="3.5"/>
    <n v="0"/>
    <n v="1"/>
    <m/>
  </r>
  <r>
    <s v="0002938104"/>
    <x v="0"/>
    <s v="Medium"/>
    <x v="1"/>
    <s v="RNAM"/>
    <s v="LINUX BROADCAST DELIVERY CENTER"/>
    <x v="4"/>
    <s v="#/#"/>
    <x v="0"/>
    <s v="Not assigned"/>
    <s v="#"/>
    <s v="Finished"/>
    <x v="123"/>
    <m/>
    <m/>
    <x v="0"/>
    <n v="1"/>
    <n v="12.234224537037001"/>
    <n v="36.247824074074103"/>
    <n v="0"/>
    <n v="1"/>
    <n v="12.2337615740741"/>
    <n v="56"/>
    <n v="4.5"/>
    <n v="4.5"/>
    <n v="0"/>
    <n v="1"/>
    <m/>
  </r>
  <r>
    <s v="0002938278"/>
    <x v="0"/>
    <s v="Medium"/>
    <x v="1"/>
    <s v="RNAM"/>
    <s v="LINUX BROADCAST MANAGEMENT CENTER"/>
    <x v="5"/>
    <s v="#/#"/>
    <x v="0"/>
    <s v="Not assigned"/>
    <s v="#"/>
    <s v="Finished"/>
    <x v="123"/>
    <m/>
    <m/>
    <x v="0"/>
    <n v="1"/>
    <n v="5.0859722222222201"/>
    <n v="5.0861458333333296"/>
    <n v="0"/>
    <n v="1"/>
    <n v="5.0854513888888899"/>
    <n v="56"/>
    <n v="1.5"/>
    <n v="1.5"/>
    <n v="0"/>
    <n v="1"/>
    <m/>
  </r>
  <r>
    <s v="0002938279"/>
    <x v="0"/>
    <s v="Medium"/>
    <x v="1"/>
    <s v="RNAM"/>
    <s v="LINUX BROADCAST DELIVERY CENTER"/>
    <x v="4"/>
    <s v="#/#"/>
    <x v="0"/>
    <s v="Not assigned"/>
    <s v="#"/>
    <s v="Finished"/>
    <x v="123"/>
    <m/>
    <m/>
    <x v="0"/>
    <n v="1"/>
    <n v="5.0798842592592601"/>
    <n v="5.08090277777778"/>
    <n v="0"/>
    <n v="1"/>
    <n v="5.07944444444444"/>
    <n v="56"/>
    <n v="1.5"/>
    <n v="1.5"/>
    <n v="0"/>
    <n v="1"/>
    <m/>
  </r>
  <r>
    <s v="0002942652"/>
    <x v="0"/>
    <s v="Medium"/>
    <x v="1"/>
    <s v="RNAM"/>
    <s v="LINUX BROADCAST MANAGEMENT CENTER"/>
    <x v="5"/>
    <s v="#/#"/>
    <x v="0"/>
    <s v="Not assigned"/>
    <s v="#"/>
    <s v="Finished"/>
    <x v="124"/>
    <m/>
    <m/>
    <x v="12"/>
    <n v="1"/>
    <n v="33.032060185185202"/>
    <n v="36.858310185185204"/>
    <n v="0"/>
    <n v="1"/>
    <n v="33.030775462963"/>
    <n v="56"/>
    <n v="7.5"/>
    <n v="7.5"/>
    <n v="0"/>
    <n v="1"/>
    <m/>
  </r>
  <r>
    <s v="0002942674"/>
    <x v="0"/>
    <s v="Medium"/>
    <x v="1"/>
    <s v="RNAM"/>
    <s v="LINUX BROADCAST DELIVERY CENTER"/>
    <x v="4"/>
    <s v="#/#"/>
    <x v="0"/>
    <s v="Not assigned"/>
    <s v="#"/>
    <s v="Finished"/>
    <x v="124"/>
    <m/>
    <m/>
    <x v="12"/>
    <n v="1"/>
    <n v="33.023634259259303"/>
    <n v="36.853587962962997"/>
    <n v="0"/>
    <n v="1"/>
    <n v="33.022546296296298"/>
    <n v="56"/>
    <n v="8"/>
    <n v="8"/>
    <n v="0"/>
    <n v="1"/>
    <m/>
  </r>
  <r>
    <s v="0002943468"/>
    <x v="2"/>
    <s v="Low"/>
    <x v="1"/>
    <s v="RNAM"/>
    <s v="LINUX BROADCAST MANAGEMENT CENTER"/>
    <x v="5"/>
    <s v="#/#"/>
    <x v="1"/>
    <s v="EZINZNG"/>
    <s v="#"/>
    <s v="Finished"/>
    <x v="125"/>
    <d v="2016-02-25T00:00:00"/>
    <d v="2016-03-03T00:00:00"/>
    <x v="1"/>
    <n v="1"/>
    <n v="6.7341319444444396"/>
    <n v="6.734375"/>
    <n v="1"/>
    <n v="1"/>
    <n v="6.7336226851851899"/>
    <n v="140"/>
    <n v="2.75"/>
    <n v="1.75"/>
    <n v="1"/>
    <n v="1"/>
    <m/>
  </r>
  <r>
    <s v="0002944600"/>
    <x v="0"/>
    <s v="Medium"/>
    <x v="4"/>
    <s v="RASO"/>
    <s v="LINUX BROADCAST DELIVERY CENTER"/>
    <x v="3"/>
    <s v="#/#"/>
    <x v="0"/>
    <s v="Not assigned"/>
    <s v="#"/>
    <s v="Finished"/>
    <x v="126"/>
    <m/>
    <m/>
    <x v="11"/>
    <n v="1"/>
    <n v="9.0346759259259297"/>
    <n v="10.2408101851852"/>
    <n v="0"/>
    <n v="1"/>
    <n v="9.0343518518518504"/>
    <n v="20"/>
    <n v="6"/>
    <n v="6"/>
    <n v="0"/>
    <n v="1"/>
    <m/>
  </r>
  <r>
    <s v="0002948758"/>
    <x v="0"/>
    <s v="Medium"/>
    <x v="1"/>
    <s v="RNAM"/>
    <s v="LINUX BROADCAST DELIVERY CENTER"/>
    <x v="4"/>
    <s v="#/#"/>
    <x v="0"/>
    <s v="Not assigned"/>
    <s v="#"/>
    <s v="Finished"/>
    <x v="127"/>
    <m/>
    <m/>
    <x v="2"/>
    <n v="1"/>
    <n v="96.921516203703703"/>
    <n v="96.9216319444444"/>
    <n v="0"/>
    <n v="1"/>
    <n v="17.8895949074074"/>
    <n v="56"/>
    <n v="21"/>
    <n v="21"/>
    <n v="0"/>
    <n v="1"/>
    <m/>
  </r>
  <r>
    <s v="0002948760"/>
    <x v="0"/>
    <s v="Medium"/>
    <x v="1"/>
    <s v="RNAM"/>
    <s v="LINUX BROADCAST DELIVERY CENTER"/>
    <x v="4"/>
    <s v="#/#"/>
    <x v="0"/>
    <s v="Not assigned"/>
    <s v="#"/>
    <s v="Finished"/>
    <x v="127"/>
    <m/>
    <m/>
    <x v="2"/>
    <n v="1"/>
    <n v="17.895486111111101"/>
    <n v="96.789363425925899"/>
    <n v="0"/>
    <n v="1"/>
    <n v="17.892893518518498"/>
    <n v="56"/>
    <n v="15"/>
    <n v="15"/>
    <n v="0"/>
    <n v="1"/>
    <m/>
  </r>
  <r>
    <s v="0002948761"/>
    <x v="0"/>
    <s v="Medium"/>
    <x v="1"/>
    <s v="RNAM"/>
    <s v="LINUX BROADCAST DELIVERY CENTER"/>
    <x v="4"/>
    <s v="#/#"/>
    <x v="0"/>
    <s v="Not assigned"/>
    <s v="#"/>
    <s v="Finished"/>
    <x v="127"/>
    <m/>
    <m/>
    <x v="2"/>
    <n v="1"/>
    <n v="17.9114583333333"/>
    <n v="96.794976851851899"/>
    <n v="0"/>
    <n v="1"/>
    <n v="17.9069560185185"/>
    <n v="56"/>
    <n v="20"/>
    <n v="20"/>
    <n v="0"/>
    <n v="1"/>
    <m/>
  </r>
  <r>
    <s v="0002948780"/>
    <x v="0"/>
    <s v="High"/>
    <x v="1"/>
    <s v="RNAM"/>
    <s v="LINUX BROADCAST DELIVERY CENTER"/>
    <x v="4"/>
    <s v="#/#"/>
    <x v="0"/>
    <s v="Not assigned"/>
    <s v="#"/>
    <s v="Finished"/>
    <x v="127"/>
    <m/>
    <m/>
    <x v="12"/>
    <n v="1"/>
    <n v="6.0512962962963002"/>
    <n v="27.0054861111111"/>
    <n v="0"/>
    <n v="1"/>
    <n v="6.0502662037036998"/>
    <n v="28"/>
    <n v="16"/>
    <n v="16"/>
    <n v="0"/>
    <n v="1"/>
    <m/>
  </r>
  <r>
    <s v="0002948781"/>
    <x v="0"/>
    <s v="High"/>
    <x v="1"/>
    <s v="RNAM"/>
    <s v="LINUX BROADCAST DELIVERY CENTER"/>
    <x v="4"/>
    <s v="#/#"/>
    <x v="0"/>
    <s v="Not assigned"/>
    <s v="#"/>
    <s v="Finished"/>
    <x v="127"/>
    <m/>
    <m/>
    <x v="12"/>
    <n v="1"/>
    <n v="5.9521875"/>
    <n v="27.0018171296296"/>
    <n v="0"/>
    <n v="1"/>
    <n v="5.9512268518518496"/>
    <n v="28"/>
    <n v="16.5"/>
    <n v="16.5"/>
    <n v="0"/>
    <n v="1"/>
    <m/>
  </r>
  <r>
    <s v="0002948783"/>
    <x v="0"/>
    <s v="Medium"/>
    <x v="1"/>
    <s v="RNAM"/>
    <s v="LINUX BROADCAST DELIVERY CENTER"/>
    <x v="4"/>
    <s v="#/#"/>
    <x v="0"/>
    <s v="Not assigned"/>
    <s v="#"/>
    <s v="Finished"/>
    <x v="127"/>
    <m/>
    <m/>
    <x v="12"/>
    <n v="1"/>
    <n v="26.997453703703702"/>
    <n v="96.850462962962993"/>
    <n v="0"/>
    <n v="1"/>
    <n v="26.9968055555556"/>
    <n v="56"/>
    <n v="26.5"/>
    <n v="26.5"/>
    <n v="0"/>
    <n v="1"/>
    <m/>
  </r>
  <r>
    <s v="0002948817"/>
    <x v="0"/>
    <s v="Medium"/>
    <x v="1"/>
    <s v="RNAM"/>
    <s v="LINUX BROADCAST DELIVERY CENTER"/>
    <x v="4"/>
    <s v="#/#"/>
    <x v="1"/>
    <s v="EZINZNG"/>
    <s v="#"/>
    <s v="Finished"/>
    <x v="127"/>
    <d v="2016-03-07T00:00:00"/>
    <d v="2016-03-17T00:00:00"/>
    <x v="6"/>
    <n v="1"/>
    <n v="12.938472222222201"/>
    <n v="26.771435185185201"/>
    <n v="1"/>
    <n v="1"/>
    <n v="12.936979166666699"/>
    <n v="56"/>
    <n v="7"/>
    <n v="3"/>
    <n v="4"/>
    <n v="1"/>
    <m/>
  </r>
  <r>
    <s v="0002951362"/>
    <x v="0"/>
    <s v="High"/>
    <x v="1"/>
    <s v="RNAM"/>
    <s v="LINUX BROADCAST MANAGEMENT CENTER"/>
    <x v="5"/>
    <s v="#/#"/>
    <x v="0"/>
    <s v="Not assigned"/>
    <s v="#"/>
    <s v="Finished"/>
    <x v="128"/>
    <m/>
    <m/>
    <x v="16"/>
    <n v="1"/>
    <n v="15.166319444444399"/>
    <n v="15.1667476851852"/>
    <n v="0"/>
    <n v="1"/>
    <n v="15.1658333333333"/>
    <n v="28"/>
    <n v="12"/>
    <n v="12"/>
    <n v="0"/>
    <n v="1"/>
    <m/>
  </r>
  <r>
    <s v="0002951446"/>
    <x v="0"/>
    <s v="High"/>
    <x v="1"/>
    <s v="RNAM"/>
    <s v="LINUX BROADCAST MANAGEMENT CENTER"/>
    <x v="5"/>
    <s v="#/#"/>
    <x v="0"/>
    <s v="Not assigned"/>
    <s v="#"/>
    <s v="Finished"/>
    <x v="128"/>
    <m/>
    <m/>
    <x v="16"/>
    <n v="1"/>
    <n v="15.1563078703704"/>
    <n v="15.157037037037"/>
    <n v="0"/>
    <n v="1"/>
    <n v="15.1559722222222"/>
    <n v="28"/>
    <n v="12"/>
    <n v="12"/>
    <n v="0"/>
    <n v="1"/>
    <m/>
  </r>
  <r>
    <s v="0002954998"/>
    <x v="0"/>
    <s v="Medium"/>
    <x v="1"/>
    <s v="RNAM"/>
    <s v="LINUX BROADCAST DELIVERY CENTER"/>
    <x v="3"/>
    <s v="#/#"/>
    <x v="0"/>
    <s v="Not assigned"/>
    <s v="#"/>
    <s v="Finished"/>
    <x v="129"/>
    <m/>
    <m/>
    <x v="16"/>
    <n v="1"/>
    <n v="3.3000810185185201"/>
    <n v="9.2004629629629697"/>
    <n v="0"/>
    <n v="1"/>
    <n v="3.2995717592592602"/>
    <n v="56"/>
    <n v="8"/>
    <n v="8"/>
    <n v="0"/>
    <n v="1"/>
    <m/>
  </r>
  <r>
    <s v="0002956071"/>
    <x v="0"/>
    <s v="Medium"/>
    <x v="1"/>
    <s v="RNAM"/>
    <s v="LINUX BROADCAST DELIVERY CENTER"/>
    <x v="4"/>
    <s v="#/#"/>
    <x v="0"/>
    <s v="Not assigned"/>
    <s v="#"/>
    <s v="Finished"/>
    <x v="130"/>
    <m/>
    <m/>
    <x v="16"/>
    <n v="1"/>
    <n v="14.994606481481499"/>
    <n v="65.605416666666699"/>
    <n v="0"/>
    <n v="1"/>
    <n v="14.994363425925901"/>
    <n v="56"/>
    <n v="13.5"/>
    <n v="13.5"/>
    <n v="0"/>
    <n v="1"/>
    <m/>
  </r>
  <r>
    <s v="0002956072"/>
    <x v="0"/>
    <s v="Medium"/>
    <x v="1"/>
    <s v="RNAM"/>
    <s v="LINUX BROADCAST DELIVERY CENTER"/>
    <x v="4"/>
    <s v="#/#"/>
    <x v="0"/>
    <s v="Not assigned"/>
    <s v="#"/>
    <s v="Finished"/>
    <x v="130"/>
    <m/>
    <m/>
    <x v="16"/>
    <n v="1"/>
    <n v="14.988900462963"/>
    <n v="65.600520833333306"/>
    <n v="0"/>
    <n v="1"/>
    <n v="14.9885532407407"/>
    <n v="56"/>
    <n v="14"/>
    <n v="14"/>
    <n v="0"/>
    <n v="1"/>
    <m/>
  </r>
  <r>
    <s v="0002956073"/>
    <x v="0"/>
    <s v="Medium"/>
    <x v="1"/>
    <s v="RNAM"/>
    <s v="LINUX BROADCAST DELIVERY CENTER"/>
    <x v="4"/>
    <s v="#/#"/>
    <x v="0"/>
    <s v="Not assigned"/>
    <s v="#"/>
    <s v="Finished"/>
    <x v="130"/>
    <m/>
    <m/>
    <x v="16"/>
    <n v="1"/>
    <n v="14.9825231481482"/>
    <n v="65.590937499999995"/>
    <n v="0"/>
    <n v="1"/>
    <n v="14.981921296296299"/>
    <n v="56"/>
    <n v="13.5"/>
    <n v="13.5"/>
    <n v="0"/>
    <n v="1"/>
    <m/>
  </r>
  <r>
    <s v="0002956784"/>
    <x v="0"/>
    <s v="Medium"/>
    <x v="1"/>
    <s v="RNAM"/>
    <s v="LINUX BROADCAST DELIVERY CENTER"/>
    <x v="4"/>
    <s v="#/#"/>
    <x v="1"/>
    <s v="EZINZNG"/>
    <s v="#"/>
    <s v="Finished"/>
    <x v="131"/>
    <d v="2016-03-17T00:00:00"/>
    <d v="2016-03-22T00:00:00"/>
    <x v="6"/>
    <n v="1"/>
    <n v="5.0111689814814797"/>
    <n v="5.0113888888888898"/>
    <n v="1"/>
    <n v="1"/>
    <n v="5.0104513888888897"/>
    <n v="56"/>
    <n v="13.5"/>
    <n v="1.5"/>
    <n v="12"/>
    <n v="1"/>
    <m/>
  </r>
  <r>
    <s v="0002958483"/>
    <x v="0"/>
    <s v="High"/>
    <x v="1"/>
    <s v="RNAM"/>
    <s v="LINUX BROADCAST MANAGEMENT CENTER"/>
    <x v="6"/>
    <s v="#/#"/>
    <x v="1"/>
    <s v="EZINZNG"/>
    <s v="#"/>
    <s v="Finished"/>
    <x v="132"/>
    <d v="2016-03-21T00:00:00"/>
    <d v="2016-03-24T00:00:00"/>
    <x v="2"/>
    <n v="1"/>
    <n v="3.1341666666666699"/>
    <n v="10.184224537037"/>
    <n v="1"/>
    <n v="1"/>
    <n v="3.1132638888888899"/>
    <n v="28"/>
    <n v="12.3333333333333"/>
    <n v="10.3333333333333"/>
    <n v="2"/>
    <n v="1"/>
    <m/>
  </r>
  <r>
    <s v="0002958670"/>
    <x v="0"/>
    <s v="High"/>
    <x v="1"/>
    <s v="RNAM"/>
    <s v="LINUX BROADCAST DELIVERY CENTER"/>
    <x v="3"/>
    <s v="#/#"/>
    <x v="0"/>
    <s v="Not assigned"/>
    <s v="#"/>
    <s v="Finished"/>
    <x v="132"/>
    <m/>
    <m/>
    <x v="11"/>
    <n v="1"/>
    <n v="20.9905324074074"/>
    <n v="20.991006944444401"/>
    <n v="0"/>
    <n v="1"/>
    <n v="20.976817129629602"/>
    <n v="28"/>
    <n v="9"/>
    <n v="9"/>
    <n v="0"/>
    <n v="1"/>
    <m/>
  </r>
  <r>
    <s v="0002959702"/>
    <x v="0"/>
    <s v="Medium"/>
    <x v="1"/>
    <s v="RNAM"/>
    <s v="LINUX BROADCAST MANAGEMENT CENTER"/>
    <x v="5"/>
    <s v="#/#"/>
    <x v="0"/>
    <s v="Not assigned"/>
    <s v="#"/>
    <s v="Finished"/>
    <x v="133"/>
    <m/>
    <m/>
    <x v="16"/>
    <n v="1"/>
    <n v="9.09739583333333"/>
    <n v="64.097442129629599"/>
    <n v="0"/>
    <n v="1"/>
    <n v="9.0971064814814806"/>
    <n v="56"/>
    <n v="10.5"/>
    <n v="10.5"/>
    <n v="0"/>
    <n v="1"/>
    <m/>
  </r>
  <r>
    <s v="0002959715"/>
    <x v="0"/>
    <s v="Medium"/>
    <x v="1"/>
    <s v="RNAM"/>
    <s v="LINUX BROADCAST MANAGEMENT CENTER"/>
    <x v="5"/>
    <s v="#/#"/>
    <x v="0"/>
    <s v="Not assigned"/>
    <s v="#"/>
    <s v="Finished"/>
    <x v="133"/>
    <m/>
    <m/>
    <x v="16"/>
    <n v="1"/>
    <n v="9.0905208333333292"/>
    <n v="64.094108796296297"/>
    <n v="0"/>
    <n v="1"/>
    <n v="9.0900578703703694"/>
    <n v="56"/>
    <n v="13"/>
    <n v="13"/>
    <n v="0"/>
    <n v="1"/>
    <m/>
  </r>
  <r>
    <s v="0002960489"/>
    <x v="0"/>
    <s v="Medium"/>
    <x v="1"/>
    <s v="RNAM"/>
    <s v="LINUX BROADCAST MANAGEMENT CENTER"/>
    <x v="5"/>
    <s v="#/#"/>
    <x v="0"/>
    <s v="Not assigned"/>
    <s v="#"/>
    <s v="Finished"/>
    <x v="134"/>
    <m/>
    <m/>
    <x v="16"/>
    <n v="1"/>
    <n v="31.086435185185199"/>
    <n v="42.030821759259297"/>
    <n v="0"/>
    <n v="1"/>
    <n v="31.086157407407399"/>
    <n v="56"/>
    <n v="9"/>
    <n v="9"/>
    <n v="0"/>
    <n v="1"/>
    <m/>
  </r>
  <r>
    <s v="0002960614"/>
    <x v="0"/>
    <s v="High"/>
    <x v="1"/>
    <s v="RNAM"/>
    <s v="LINUX BROADCAST MANAGEMENT CENTER"/>
    <x v="5"/>
    <s v="#/#"/>
    <x v="1"/>
    <s v="EZINZNG"/>
    <s v="#"/>
    <s v="Finished"/>
    <x v="135"/>
    <d v="2016-03-24T00:00:00"/>
    <d v="2016-03-25T00:00:00"/>
    <x v="2"/>
    <n v="1"/>
    <n v="1.47510416666667"/>
    <n v="1.4881712962963001"/>
    <n v="1"/>
    <n v="1"/>
    <n v="1.36876157407407"/>
    <n v="28"/>
    <n v="9.5"/>
    <n v="4.5"/>
    <n v="5"/>
    <n v="1"/>
    <m/>
  </r>
  <r>
    <s v="0002961413"/>
    <x v="1"/>
    <s v="Medium"/>
    <x v="1"/>
    <s v="RNAM"/>
    <s v="LINUX BROADCAST MANAGEMENT CENTER"/>
    <x v="6"/>
    <s v="#/#"/>
    <x v="1"/>
    <s v="EZINZNG"/>
    <s v="#"/>
    <s v="Finished"/>
    <x v="136"/>
    <d v="2016-03-25T00:00:00"/>
    <d v="2016-04-08T00:00:00"/>
    <x v="6"/>
    <n v="1"/>
    <n v="14.115520833333299"/>
    <n v="20.226863425925899"/>
    <n v="1"/>
    <n v="1"/>
    <n v="14.115185185185201"/>
    <n v="56"/>
    <n v="9.75"/>
    <n v="0.75"/>
    <n v="9"/>
    <n v="1"/>
    <m/>
  </r>
  <r>
    <s v="0002961434"/>
    <x v="1"/>
    <s v="Medium"/>
    <x v="1"/>
    <s v="RNAM"/>
    <s v="LINUX BROADCAST MANAGEMENT CENTER"/>
    <x v="6"/>
    <s v="#/#"/>
    <x v="1"/>
    <s v="EZINZNG"/>
    <s v="#"/>
    <s v="Finished"/>
    <x v="136"/>
    <d v="2016-03-25T00:00:00"/>
    <d v="2016-04-08T00:00:00"/>
    <x v="6"/>
    <n v="1"/>
    <n v="14.098472222222201"/>
    <n v="20.219432870370401"/>
    <n v="1"/>
    <n v="1"/>
    <n v="14.0981481481482"/>
    <n v="56"/>
    <n v="6.75"/>
    <n v="0.75"/>
    <n v="6"/>
    <n v="1"/>
    <m/>
  </r>
  <r>
    <s v="0002961435"/>
    <x v="1"/>
    <s v="Medium"/>
    <x v="1"/>
    <s v="RNAM"/>
    <s v="LINUX BROADCAST MANAGEMENT CENTER"/>
    <x v="6"/>
    <s v="#/#"/>
    <x v="1"/>
    <s v="EZINZNG"/>
    <s v="#"/>
    <s v="Finished"/>
    <x v="136"/>
    <d v="2016-03-25T00:00:00"/>
    <d v="2016-04-08T00:00:00"/>
    <x v="6"/>
    <n v="1"/>
    <n v="14.0894328703704"/>
    <n v="20.215451388888901"/>
    <n v="1"/>
    <n v="1"/>
    <n v="14.089178240740701"/>
    <n v="56"/>
    <n v="12.5"/>
    <n v="0.5"/>
    <n v="12"/>
    <n v="1"/>
    <m/>
  </r>
  <r>
    <s v="0002961436"/>
    <x v="1"/>
    <s v="Medium"/>
    <x v="1"/>
    <s v="RNAM"/>
    <s v="LINUX BROADCAST MANAGEMENT CENTER"/>
    <x v="6"/>
    <s v="#/#"/>
    <x v="1"/>
    <s v="EZINZNG"/>
    <s v="#"/>
    <s v="Finished"/>
    <x v="136"/>
    <d v="2016-03-25T00:00:00"/>
    <d v="2016-04-08T00:00:00"/>
    <x v="6"/>
    <n v="1"/>
    <n v="14.0588888888889"/>
    <n v="20.212060185185202"/>
    <n v="1"/>
    <n v="1"/>
    <n v="14.058425925925899"/>
    <n v="56"/>
    <n v="12"/>
    <n v="0"/>
    <n v="12"/>
    <n v="1"/>
    <m/>
  </r>
  <r>
    <s v="0002961438"/>
    <x v="0"/>
    <s v="Medium"/>
    <x v="1"/>
    <s v="RNAM"/>
    <s v="LINUX BROADCAST MANAGEMENT CENTER"/>
    <x v="6"/>
    <s v="#/#"/>
    <x v="1"/>
    <s v="EZINZNG"/>
    <s v="#"/>
    <s v="Finished"/>
    <x v="136"/>
    <d v="2016-03-25T00:00:00"/>
    <d v="2016-04-08T00:00:00"/>
    <x v="6"/>
    <n v="1"/>
    <n v="14.0473032407407"/>
    <n v="20.204178240740699"/>
    <n v="1"/>
    <n v="1"/>
    <n v="14.0469560185185"/>
    <n v="56"/>
    <n v="18"/>
    <n v="0"/>
    <n v="18"/>
    <n v="1"/>
    <m/>
  </r>
  <r>
    <s v="0002961440"/>
    <x v="1"/>
    <s v="Medium"/>
    <x v="1"/>
    <s v="RNAM"/>
    <s v="LINUX BROADCAST MANAGEMENT CENTER"/>
    <x v="6"/>
    <s v="#/#"/>
    <x v="1"/>
    <s v="EZINZNG"/>
    <s v="#"/>
    <s v="Finished"/>
    <x v="136"/>
    <d v="2016-03-25T00:00:00"/>
    <d v="2016-03-31T00:00:00"/>
    <x v="6"/>
    <n v="1"/>
    <n v="14.045787037037"/>
    <n v="20.199884259259299"/>
    <n v="1"/>
    <n v="1"/>
    <n v="14.039837962963"/>
    <n v="56"/>
    <n v="18.5"/>
    <n v="0.5"/>
    <n v="18"/>
    <n v="1"/>
    <m/>
  </r>
  <r>
    <s v="0002962413"/>
    <x v="0"/>
    <s v="Medium"/>
    <x v="1"/>
    <s v="RNAM"/>
    <s v="LINUX BROADCAST MANAGEMENT CENTER"/>
    <x v="6"/>
    <s v="#/#"/>
    <x v="0"/>
    <s v="Not assigned"/>
    <s v="#"/>
    <s v="Finished"/>
    <x v="137"/>
    <m/>
    <m/>
    <x v="15"/>
    <n v="1"/>
    <n v="0.170011574074074"/>
    <n v="0.17153935185185201"/>
    <n v="0"/>
    <n v="1"/>
    <n v="0.169780092592593"/>
    <n v="56"/>
    <n v="1"/>
    <n v="1"/>
    <n v="0"/>
    <n v="1"/>
    <m/>
  </r>
  <r>
    <s v="0002964901"/>
    <x v="0"/>
    <s v="Medium"/>
    <x v="1"/>
    <s v="RNAM"/>
    <s v="LINUX BROADCAST MANAGEMENT CENTER"/>
    <x v="5"/>
    <s v="#/#"/>
    <x v="0"/>
    <s v="Not assigned"/>
    <s v="#"/>
    <s v="Finished"/>
    <x v="138"/>
    <m/>
    <m/>
    <x v="17"/>
    <n v="1"/>
    <n v="1.3279745370370399"/>
    <n v="35.955428240740702"/>
    <n v="0"/>
    <n v="1"/>
    <n v="1.3277083333333299"/>
    <n v="56"/>
    <n v="14"/>
    <n v="14"/>
    <n v="0"/>
    <n v="1"/>
    <m/>
  </r>
  <r>
    <s v="0002965796"/>
    <x v="0"/>
    <s v="Medium"/>
    <x v="1"/>
    <s v="RNAM"/>
    <s v="LINUX BROADCAST DELIVERY CENTER"/>
    <x v="4"/>
    <s v="#/#"/>
    <x v="0"/>
    <s v="Not assigned"/>
    <s v="#"/>
    <s v="Finished"/>
    <x v="139"/>
    <m/>
    <m/>
    <x v="12"/>
    <n v="1"/>
    <n v="20.0666087962963"/>
    <n v="53.024039351851897"/>
    <n v="0"/>
    <n v="1"/>
    <n v="20.066307870370402"/>
    <n v="56"/>
    <n v="24"/>
    <n v="24"/>
    <n v="0"/>
    <n v="1"/>
    <m/>
  </r>
  <r>
    <s v="0002965797"/>
    <x v="0"/>
    <s v="Medium"/>
    <x v="1"/>
    <s v="RNAM"/>
    <s v="LINUX BROADCAST DELIVERY CENTER"/>
    <x v="4"/>
    <s v="#/#"/>
    <x v="0"/>
    <s v="Not assigned"/>
    <s v="#"/>
    <s v="Finished"/>
    <x v="139"/>
    <m/>
    <m/>
    <x v="16"/>
    <n v="1"/>
    <n v="20.060231481481502"/>
    <n v="53.973854166666698"/>
    <n v="0"/>
    <n v="1"/>
    <n v="20.0599768518519"/>
    <n v="56"/>
    <n v="15.5"/>
    <n v="15.5"/>
    <n v="0"/>
    <n v="1"/>
    <m/>
  </r>
  <r>
    <s v="0002965798"/>
    <x v="0"/>
    <s v="Medium"/>
    <x v="1"/>
    <s v="RNAM"/>
    <s v="LINUX BROADCAST DELIVERY CENTER"/>
    <x v="4"/>
    <s v="#/#"/>
    <x v="0"/>
    <s v="Not assigned"/>
    <s v="#"/>
    <s v="Finished"/>
    <x v="139"/>
    <m/>
    <m/>
    <x v="3"/>
    <n v="1"/>
    <n v="20.055740740740699"/>
    <n v="53.966863425925901"/>
    <n v="0"/>
    <n v="1"/>
    <n v="20.055231481481499"/>
    <n v="56"/>
    <n v="14.5"/>
    <n v="14.5"/>
    <n v="0"/>
    <n v="1"/>
    <m/>
  </r>
  <r>
    <s v="0002966226"/>
    <x v="1"/>
    <s v="Medium"/>
    <x v="4"/>
    <s v="RASO"/>
    <s v="LINUX BROADCAST MANAGEMENT CENTER"/>
    <x v="2"/>
    <s v="#/#"/>
    <x v="1"/>
    <s v="EZINZNG"/>
    <s v="#"/>
    <s v="Finished"/>
    <x v="140"/>
    <d v="2016-04-04T00:00:00"/>
    <d v="2016-04-13T00:00:00"/>
    <x v="18"/>
    <n v="1"/>
    <n v="10.078391203703699"/>
    <n v="10.0786226851852"/>
    <n v="1"/>
    <n v="1"/>
    <n v="10.0776736111111"/>
    <n v="45"/>
    <n v="2"/>
    <n v="0"/>
    <n v="2"/>
    <n v="1"/>
    <m/>
  </r>
  <r>
    <s v="0002967022"/>
    <x v="1"/>
    <s v="High"/>
    <x v="4"/>
    <s v="RASO"/>
    <s v="LINUX BROADCAST DELIVERY CENTER"/>
    <x v="3"/>
    <s v="#/#"/>
    <x v="1"/>
    <s v="EZINZNG"/>
    <s v="#"/>
    <s v="Finished"/>
    <x v="141"/>
    <d v="2016-04-05T00:00:00"/>
    <d v="2016-04-21T00:00:00"/>
    <x v="12"/>
    <n v="1"/>
    <n v="16.9104282407407"/>
    <n v="16.9105902777778"/>
    <n v="1"/>
    <n v="1"/>
    <n v="16.909745370370398"/>
    <n v="45"/>
    <n v="20"/>
    <n v="0"/>
    <n v="20"/>
    <n v="1"/>
    <m/>
  </r>
  <r>
    <s v="0002967499"/>
    <x v="0"/>
    <s v="Medium"/>
    <x v="1"/>
    <s v="RNAM"/>
    <s v="LINUX BROADCAST DELIVERY CENTER"/>
    <x v="3"/>
    <s v="#/#"/>
    <x v="0"/>
    <s v="Not assigned"/>
    <s v="#"/>
    <s v="Follow up"/>
    <x v="141"/>
    <m/>
    <m/>
    <x v="3"/>
    <n v="1"/>
    <n v="68.442581018518496"/>
    <n v="68.442719907407394"/>
    <n v="0"/>
    <n v="1"/>
    <n v="2.0555208333333299"/>
    <n v="56"/>
    <n v="22"/>
    <n v="22"/>
    <n v="0"/>
    <n v="1"/>
    <m/>
  </r>
  <r>
    <s v="0002969332"/>
    <x v="0"/>
    <s v="High"/>
    <x v="1"/>
    <s v="RNAM"/>
    <s v="LINUX BROADCAST DELIVERY CENTER"/>
    <x v="4"/>
    <s v="#/#"/>
    <x v="1"/>
    <s v="EXUYUFE"/>
    <s v="#"/>
    <s v="Finished"/>
    <x v="142"/>
    <d v="2016-04-07T00:00:00"/>
    <d v="2016-04-14T00:00:00"/>
    <x v="1"/>
    <n v="1"/>
    <n v="10.9248726851852"/>
    <n v="10.9249537037037"/>
    <n v="1"/>
    <n v="1"/>
    <n v="10.9244212962963"/>
    <n v="28"/>
    <n v="16"/>
    <n v="0"/>
    <n v="16"/>
    <n v="1"/>
    <m/>
  </r>
  <r>
    <s v="0002971195"/>
    <x v="1"/>
    <s v="Medium"/>
    <x v="1"/>
    <s v="RNAM"/>
    <s v="LINUX BROADCAST MANAGEMENT CENTER"/>
    <x v="6"/>
    <s v="#/#"/>
    <x v="1"/>
    <s v="EKONGLI"/>
    <s v="#"/>
    <s v="Finished"/>
    <x v="143"/>
    <d v="2016-04-11T00:00:00"/>
    <d v="2016-04-15T00:00:00"/>
    <x v="12"/>
    <n v="1"/>
    <n v="11.242314814814801"/>
    <n v="18.117233796296301"/>
    <n v="1"/>
    <n v="1"/>
    <n v="11.241712962963"/>
    <n v="56"/>
    <n v="15"/>
    <n v="0"/>
    <n v="15"/>
    <n v="1"/>
    <m/>
  </r>
  <r>
    <s v="0002971196"/>
    <x v="2"/>
    <s v="Medium"/>
    <x v="1"/>
    <s v="RNAM"/>
    <s v="LINUX BROADCAST MANAGEMENT CENTER"/>
    <x v="6"/>
    <s v="#/#"/>
    <x v="1"/>
    <s v="EXUYUFE"/>
    <s v="#"/>
    <s v="Formal answer provided"/>
    <x v="143"/>
    <d v="2016-04-11T00:00:00"/>
    <d v="2016-04-20T00:00:00"/>
    <x v="6"/>
    <n v="1"/>
    <n v="11.229826388888901"/>
    <n v="62.361215277777802"/>
    <n v="1"/>
    <n v="1"/>
    <n v="11.229826388888901"/>
    <n v="56"/>
    <n v="10.25"/>
    <n v="2.25"/>
    <n v="8"/>
    <n v="1"/>
    <m/>
  </r>
  <r>
    <s v="0002971305"/>
    <x v="0"/>
    <s v="Low"/>
    <x v="1"/>
    <s v="RNAM"/>
    <s v="LINUX BROADCAST MANAGEMENT CENTER"/>
    <x v="5"/>
    <s v="#/#"/>
    <x v="0"/>
    <s v="Not assigned"/>
    <s v="#"/>
    <s v="Finished"/>
    <x v="143"/>
    <m/>
    <m/>
    <x v="12"/>
    <n v="1"/>
    <n v="7.0495949074074096"/>
    <n v="7.0498842592592599"/>
    <n v="0"/>
    <n v="1"/>
    <n v="7.04871527777778"/>
    <n v="140"/>
    <n v="14"/>
    <n v="14"/>
    <n v="0"/>
    <n v="1"/>
    <m/>
  </r>
  <r>
    <s v="0002971604"/>
    <x v="0"/>
    <s v="High"/>
    <x v="1"/>
    <s v="RNAM"/>
    <s v="LINUX BROADCAST DELIVERY CENTER"/>
    <x v="4"/>
    <s v="#/#"/>
    <x v="0"/>
    <s v="Not assigned"/>
    <s v="#"/>
    <s v="Finished"/>
    <x v="144"/>
    <m/>
    <m/>
    <x v="6"/>
    <n v="1"/>
    <n v="13.5459143518519"/>
    <n v="20.556215277777799"/>
    <n v="0"/>
    <n v="1"/>
    <n v="13.5438425925926"/>
    <n v="28"/>
    <n v="13"/>
    <n v="13"/>
    <n v="0"/>
    <n v="1"/>
    <m/>
  </r>
  <r>
    <s v="0002972373"/>
    <x v="1"/>
    <s v="Medium"/>
    <x v="4"/>
    <s v="RASO"/>
    <s v="LINUX BROADCAST MANAGEMENT CENTER"/>
    <x v="6"/>
    <s v="#/#"/>
    <x v="1"/>
    <s v="EKONGLI"/>
    <s v="#"/>
    <s v="Finished"/>
    <x v="145"/>
    <d v="2016-04-13T00:00:00"/>
    <d v="2016-04-20T00:00:00"/>
    <x v="12"/>
    <n v="1"/>
    <n v="7.7839699074074096"/>
    <n v="7.7841319444444403"/>
    <n v="1"/>
    <n v="1"/>
    <n v="7.7836689814814797"/>
    <n v="45"/>
    <n v="13"/>
    <n v="0"/>
    <n v="13"/>
    <n v="1"/>
    <m/>
  </r>
  <r>
    <s v="0002976914"/>
    <x v="0"/>
    <s v="High"/>
    <x v="1"/>
    <s v="RNAM"/>
    <s v="LINUX BROADCAST DELIVERY CENTER"/>
    <x v="4"/>
    <s v="#/#"/>
    <x v="0"/>
    <s v="Not assigned"/>
    <s v="#"/>
    <s v="Finished"/>
    <x v="146"/>
    <m/>
    <m/>
    <x v="16"/>
    <n v="1"/>
    <n v="26.515324074074101"/>
    <n v="26.515567129629598"/>
    <n v="0"/>
    <n v="1"/>
    <n v="14.658171296296301"/>
    <n v="28"/>
    <n v="16"/>
    <n v="16"/>
    <n v="0"/>
    <n v="1"/>
    <m/>
  </r>
  <r>
    <s v="0002977444"/>
    <x v="0"/>
    <s v="Medium"/>
    <x v="1"/>
    <s v="RNAM"/>
    <s v="LINUX BROADCAST MANAGEMENT CENTER"/>
    <x v="5"/>
    <s v="#/#"/>
    <x v="0"/>
    <s v="Not assigned"/>
    <s v="#"/>
    <s v="Finished"/>
    <x v="146"/>
    <m/>
    <m/>
    <x v="0"/>
    <n v="1"/>
    <n v="14.1449074074074"/>
    <n v="35.356944444444402"/>
    <n v="0"/>
    <n v="1"/>
    <n v="14.144525462962999"/>
    <n v="56"/>
    <n v="12"/>
    <n v="12"/>
    <n v="0"/>
    <n v="1"/>
    <m/>
  </r>
  <r>
    <s v="0002977446"/>
    <x v="0"/>
    <s v="Medium"/>
    <x v="1"/>
    <s v="RNAM"/>
    <s v="LINUX BROADCAST MANAGEMENT CENTER"/>
    <x v="5"/>
    <s v="#/#"/>
    <x v="0"/>
    <s v="Not assigned"/>
    <s v="#"/>
    <s v="Follow up"/>
    <x v="146"/>
    <m/>
    <m/>
    <x v="12"/>
    <n v="1"/>
    <n v="20.362222222222201"/>
    <n v="53.3915740740741"/>
    <n v="0"/>
    <n v="1"/>
    <n v="20.362222222222201"/>
    <n v="56"/>
    <n v="15"/>
    <n v="15"/>
    <n v="0"/>
    <n v="1"/>
    <m/>
  </r>
  <r>
    <s v="0002977448"/>
    <x v="0"/>
    <s v="Medium"/>
    <x v="1"/>
    <s v="RNAM"/>
    <s v="LINUX BROADCAST MANAGEMENT CENTER"/>
    <x v="5"/>
    <s v="#/#"/>
    <x v="0"/>
    <s v="Not assigned"/>
    <s v="#"/>
    <s v="Finished"/>
    <x v="146"/>
    <m/>
    <m/>
    <x v="16"/>
    <n v="1"/>
    <n v="14.141412037037"/>
    <n v="35.356793981481502"/>
    <n v="0"/>
    <n v="1"/>
    <n v="14.141203703703701"/>
    <n v="56"/>
    <n v="14.5"/>
    <n v="14.5"/>
    <n v="0"/>
    <n v="1"/>
    <m/>
  </r>
  <r>
    <s v="0002977450"/>
    <x v="0"/>
    <s v="Medium"/>
    <x v="1"/>
    <s v="RNAM"/>
    <s v="LINUX BROADCAST MANAGEMENT CENTER"/>
    <x v="5"/>
    <s v="#/#"/>
    <x v="1"/>
    <s v="EXUYUFE"/>
    <s v="#"/>
    <s v="Finished"/>
    <x v="146"/>
    <d v="2016-04-25T00:00:00"/>
    <d v="2016-05-06T00:00:00"/>
    <x v="0"/>
    <n v="1"/>
    <n v="15.970752314814799"/>
    <n v="35.353449074074099"/>
    <n v="1"/>
    <n v="1"/>
    <n v="15.9704513888889"/>
    <n v="56"/>
    <n v="27.5"/>
    <n v="7.5"/>
    <n v="20"/>
    <n v="1"/>
    <m/>
  </r>
  <r>
    <s v="0002977451"/>
    <x v="0"/>
    <s v="High"/>
    <x v="1"/>
    <s v="RNAM"/>
    <s v="LINUX BROADCAST MANAGEMENT CENTER"/>
    <x v="6"/>
    <s v="#/#"/>
    <x v="0"/>
    <s v="Not assigned"/>
    <s v="#"/>
    <s v="Finished"/>
    <x v="146"/>
    <m/>
    <m/>
    <x v="6"/>
    <n v="1"/>
    <n v="14.155567129629601"/>
    <n v="50.0771759259259"/>
    <n v="0"/>
    <n v="1"/>
    <n v="14.154108796296301"/>
    <n v="28"/>
    <n v="19"/>
    <n v="19"/>
    <n v="0"/>
    <n v="1"/>
    <m/>
  </r>
  <r>
    <s v="0002977452"/>
    <x v="0"/>
    <s v="High"/>
    <x v="1"/>
    <s v="RNAM"/>
    <s v="LINUX BROADCAST DELIVERY CENTER"/>
    <x v="4"/>
    <s v="#/#"/>
    <x v="0"/>
    <s v="Not assigned"/>
    <s v="#"/>
    <s v="Finished"/>
    <x v="146"/>
    <m/>
    <m/>
    <x v="12"/>
    <n v="1"/>
    <n v="25.982962962963001"/>
    <n v="25.9833449074074"/>
    <n v="0"/>
    <n v="1"/>
    <n v="14.1273842592593"/>
    <n v="28"/>
    <n v="16.25"/>
    <n v="16.25"/>
    <n v="0"/>
    <n v="1"/>
    <m/>
  </r>
  <r>
    <s v="0002977453"/>
    <x v="0"/>
    <s v="High"/>
    <x v="1"/>
    <s v="RNAM"/>
    <s v="LINUX BROADCAST DELIVERY CENTER"/>
    <x v="4"/>
    <s v="#/#"/>
    <x v="0"/>
    <s v="Not assigned"/>
    <s v="#"/>
    <s v="Finished"/>
    <x v="146"/>
    <m/>
    <m/>
    <x v="6"/>
    <n v="1"/>
    <n v="14.131284722222199"/>
    <n v="14.131412037037"/>
    <n v="0"/>
    <n v="1"/>
    <n v="14.131064814814801"/>
    <n v="28"/>
    <n v="14"/>
    <n v="14"/>
    <n v="0"/>
    <n v="1"/>
    <m/>
  </r>
  <r>
    <s v="0002977464"/>
    <x v="0"/>
    <s v="High"/>
    <x v="1"/>
    <s v="RNAM"/>
    <s v="LINUX BROADCAST DELIVERY CENTER"/>
    <x v="4"/>
    <s v="#/#"/>
    <x v="0"/>
    <s v="Not assigned"/>
    <s v="#"/>
    <s v="Finished"/>
    <x v="146"/>
    <m/>
    <m/>
    <x v="12"/>
    <n v="1"/>
    <n v="26.205543981481501"/>
    <n v="26.205787037036998"/>
    <n v="0"/>
    <n v="1"/>
    <n v="14.133749999999999"/>
    <n v="28"/>
    <n v="19"/>
    <n v="19"/>
    <n v="0"/>
    <n v="1"/>
    <m/>
  </r>
  <r>
    <s v="0002977735"/>
    <x v="1"/>
    <s v="Medium"/>
    <x v="8"/>
    <s v="RLAM"/>
    <s v="LINUX BROADCAST MANAGEMENT CENTER"/>
    <x v="6"/>
    <s v="#/#"/>
    <x v="1"/>
    <s v="EKONGLI"/>
    <s v="#"/>
    <s v="Finished"/>
    <x v="147"/>
    <d v="2016-04-25T00:00:00"/>
    <d v="2016-05-05T00:00:00"/>
    <x v="12"/>
    <n v="1"/>
    <n v="44.283738425925897"/>
    <n v="52.283807870370403"/>
    <n v="1"/>
    <n v="1"/>
    <n v="44.279363425925901"/>
    <n v="40"/>
    <n v="20.3"/>
    <n v="1.3"/>
    <n v="19"/>
    <n v="0"/>
    <m/>
  </r>
  <r>
    <s v="0002979350"/>
    <x v="0"/>
    <s v="Low"/>
    <x v="1"/>
    <s v="RNAM"/>
    <s v="LINUX BROADCAST MANAGEMENT CENTER"/>
    <x v="5"/>
    <s v="#/#"/>
    <x v="0"/>
    <s v="Not assigned"/>
    <s v="#"/>
    <s v="Finished"/>
    <x v="148"/>
    <m/>
    <m/>
    <x v="16"/>
    <n v="1"/>
    <n v="3.7024421296296302"/>
    <n v="11.8360763888889"/>
    <n v="0"/>
    <n v="1"/>
    <n v="3.7021759259259301"/>
    <n v="140"/>
    <n v="6"/>
    <n v="6"/>
    <n v="0"/>
    <n v="1"/>
    <m/>
  </r>
  <r>
    <s v="0002979499"/>
    <x v="1"/>
    <s v="Medium"/>
    <x v="8"/>
    <s v="RLAM"/>
    <s v="LINUX BROADCAST DELIVERY CENTER"/>
    <x v="4"/>
    <s v="#/#"/>
    <x v="1"/>
    <s v="EKONGLI"/>
    <s v="HU82959"/>
    <s v="Finished"/>
    <x v="149"/>
    <d v="2016-04-25T00:00:00"/>
    <d v="2016-05-10T00:00:00"/>
    <x v="6"/>
    <n v="1"/>
    <n v="41.703414351851897"/>
    <n v="49.703553240740703"/>
    <n v="1"/>
    <n v="1"/>
    <n v="41.698506944444397"/>
    <n v="40"/>
    <n v="42.3"/>
    <n v="0.3"/>
    <n v="42"/>
    <n v="0"/>
    <m/>
  </r>
  <r>
    <s v="0002981340"/>
    <x v="0"/>
    <s v="High"/>
    <x v="1"/>
    <s v="RNAM"/>
    <s v="LINUX BROADCAST MANAGEMENT CENTER"/>
    <x v="6"/>
    <s v="#/#"/>
    <x v="0"/>
    <s v="Not assigned"/>
    <s v="#"/>
    <s v="Formal answer provided"/>
    <x v="150"/>
    <m/>
    <m/>
    <x v="12"/>
    <n v="1"/>
    <n v="2.1050810185185198"/>
    <n v="47.174942129629599"/>
    <n v="0"/>
    <n v="1"/>
    <n v="2.1050810185185198"/>
    <n v="28"/>
    <n v="15"/>
    <n v="15"/>
    <n v="0"/>
    <n v="1"/>
    <m/>
  </r>
  <r>
    <s v="0002982116"/>
    <x v="0"/>
    <s v="Medium"/>
    <x v="1"/>
    <s v="RNAM"/>
    <s v="LINUX BROADCAST DELIVERY CENTER"/>
    <x v="4"/>
    <s v="#/#"/>
    <x v="1"/>
    <s v="EXUYUFE"/>
    <s v="#"/>
    <s v="Analysis, Waiting Customer"/>
    <x v="151"/>
    <d v="2016-04-27T00:00:00"/>
    <m/>
    <x v="19"/>
    <n v="1"/>
    <n v="15.100937500000001"/>
    <n v="46.298958333333303"/>
    <n v="0"/>
    <n v="0"/>
    <n v="0"/>
    <n v="56"/>
    <n v="30.5"/>
    <n v="14.5"/>
    <n v="16"/>
    <n v="0"/>
    <m/>
  </r>
  <r>
    <s v="0002983600"/>
    <x v="1"/>
    <s v="Medium"/>
    <x v="1"/>
    <s v="RNAM"/>
    <s v="LINUX BROADCAST MANAGEMENT CENTER"/>
    <x v="6"/>
    <s v="#/#"/>
    <x v="1"/>
    <s v="EKONGLI"/>
    <s v="HU79845"/>
    <s v="Formal answer provided"/>
    <x v="152"/>
    <d v="2016-04-29T00:00:00"/>
    <d v="2016-05-18T00:00:00"/>
    <x v="6"/>
    <n v="1"/>
    <n v="20.074826388888901"/>
    <n v="44.316550925925903"/>
    <n v="1"/>
    <n v="1"/>
    <n v="20.074826388888901"/>
    <n v="56"/>
    <n v="29.5"/>
    <n v="0.5"/>
    <n v="29"/>
    <n v="1"/>
    <m/>
  </r>
  <r>
    <s v="0002983601"/>
    <x v="1"/>
    <s v="Low"/>
    <x v="1"/>
    <s v="RNAM"/>
    <s v="LINUX BROADCAST MANAGEMENT CENTER"/>
    <x v="6"/>
    <s v="#/#"/>
    <x v="1"/>
    <s v="EKONGLI"/>
    <s v="HU81438,HU81438"/>
    <s v="Formal answer provided"/>
    <x v="152"/>
    <d v="2016-04-29T00:00:00"/>
    <d v="2016-05-26T00:00:00"/>
    <x v="6"/>
    <n v="1"/>
    <n v="34.976990740740703"/>
    <n v="44.314756944444397"/>
    <n v="1"/>
    <n v="1"/>
    <n v="34.976990740740703"/>
    <n v="140"/>
    <n v="19"/>
    <n v="1"/>
    <n v="18"/>
    <n v="1"/>
    <m/>
  </r>
  <r>
    <s v="0002984848"/>
    <x v="1"/>
    <s v="Medium"/>
    <x v="4"/>
    <s v="RASO"/>
    <s v="LINUX BROADCAST MANAGEMENT CENTER"/>
    <x v="6"/>
    <s v="#/#"/>
    <x v="1"/>
    <s v="EKONGLI"/>
    <s v="#"/>
    <s v="Analysis, Waiting Customer"/>
    <x v="153"/>
    <d v="2016-05-03T00:00:00"/>
    <m/>
    <x v="12"/>
    <n v="1"/>
    <n v="28.9353356481482"/>
    <n v="40.763113425925901"/>
    <n v="0"/>
    <n v="0"/>
    <n v="0"/>
    <n v="45"/>
    <n v="20.1666666666667"/>
    <n v="0"/>
    <n v="20.1666666666667"/>
    <n v="0"/>
    <m/>
  </r>
  <r>
    <s v="0002985635"/>
    <x v="0"/>
    <s v="Medium"/>
    <x v="1"/>
    <s v="RNAM"/>
    <s v="LINUX BROADCAST MANAGEMENT CENTER"/>
    <x v="5"/>
    <s v="#/#"/>
    <x v="0"/>
    <s v="Not assigned"/>
    <s v="#"/>
    <s v="Finished"/>
    <x v="153"/>
    <m/>
    <m/>
    <x v="12"/>
    <n v="1"/>
    <n v="7.0118865740740697"/>
    <n v="36.7613657407407"/>
    <n v="0"/>
    <n v="1"/>
    <n v="7.0116203703703697"/>
    <n v="56"/>
    <n v="12"/>
    <n v="12"/>
    <n v="0"/>
    <n v="1"/>
    <m/>
  </r>
  <r>
    <s v="0002987621"/>
    <x v="0"/>
    <s v="Emergency"/>
    <x v="1"/>
    <s v="RNAM"/>
    <s v="LINUX BROADCAST MANAGEMENT CENTER"/>
    <x v="5"/>
    <s v="#/#"/>
    <x v="1"/>
    <s v="EJACDIO"/>
    <s v="#"/>
    <s v="Finished"/>
    <x v="154"/>
    <d v="2016-05-06T00:00:00"/>
    <d v="2016-05-06T00:00:00"/>
    <x v="10"/>
    <n v="1"/>
    <n v="1.4004629629629599E-3"/>
    <n v="6.5312499999999996E-2"/>
    <n v="0"/>
    <n v="1"/>
    <n v="3.5879629629629602E-4"/>
    <n v="3"/>
    <n v="5"/>
    <n v="5"/>
    <n v="0"/>
    <n v="1"/>
    <m/>
  </r>
  <r>
    <s v="0002987654"/>
    <x v="0"/>
    <s v="High"/>
    <x v="1"/>
    <s v="RNAM"/>
    <s v="LINUX BROADCAST MANAGEMENT CENTER"/>
    <x v="5"/>
    <s v="#/#"/>
    <x v="0"/>
    <s v="Not assigned"/>
    <s v="#"/>
    <s v="Pre-analysis, Waiting customer"/>
    <x v="154"/>
    <m/>
    <m/>
    <x v="19"/>
    <n v="1"/>
    <n v="5.2487731481481497"/>
    <n v="37.346944444444397"/>
    <n v="0"/>
    <n v="0"/>
    <n v="0"/>
    <n v="28"/>
    <n v="38"/>
    <n v="38"/>
    <n v="0"/>
    <n v="0"/>
    <m/>
  </r>
  <r>
    <s v="0002987662"/>
    <x v="2"/>
    <s v="Medium"/>
    <x v="1"/>
    <s v="RNAM"/>
    <s v="LINUX BROADCAST MANAGEMENT CENTER"/>
    <x v="6"/>
    <s v="#/#"/>
    <x v="1"/>
    <s v="EZINZNG"/>
    <s v="#"/>
    <s v="Formal answer provided"/>
    <x v="154"/>
    <d v="2016-05-06T00:00:00"/>
    <d v="2016-05-20T00:00:00"/>
    <x v="3"/>
    <n v="1"/>
    <n v="28.2388657407407"/>
    <n v="37.317824074074103"/>
    <n v="1"/>
    <n v="1"/>
    <n v="28.2388657407407"/>
    <n v="56"/>
    <n v="15"/>
    <n v="7"/>
    <n v="8"/>
    <n v="1"/>
    <m/>
  </r>
  <r>
    <s v="0002987786"/>
    <x v="2"/>
    <s v="Medium"/>
    <x v="1"/>
    <s v="RNAM"/>
    <s v="LINUX BROADCAST MANAGEMENT CENTER"/>
    <x v="6"/>
    <s v="#/#"/>
    <x v="1"/>
    <s v="EXUYUFE"/>
    <s v="HU84401"/>
    <s v="Formal answer provided"/>
    <x v="154"/>
    <d v="2016-05-06T00:00:00"/>
    <d v="2016-05-18T00:00:00"/>
    <x v="6"/>
    <n v="1"/>
    <n v="12.8710300925926"/>
    <n v="37.109421296296297"/>
    <n v="1"/>
    <n v="1"/>
    <n v="12.8710300925926"/>
    <n v="56"/>
    <n v="39"/>
    <n v="22"/>
    <n v="17"/>
    <n v="1"/>
    <m/>
  </r>
  <r>
    <s v="0002987787"/>
    <x v="2"/>
    <s v="Medium"/>
    <x v="1"/>
    <s v="RNAM"/>
    <s v="LINUX BROADCAST MANAGEMENT CENTER"/>
    <x v="6"/>
    <s v="#/#"/>
    <x v="1"/>
    <s v="EXUYUFE"/>
    <s v="HU84404"/>
    <s v="Formal answer provided"/>
    <x v="154"/>
    <d v="2016-05-06T00:00:00"/>
    <d v="2016-05-18T00:00:00"/>
    <x v="6"/>
    <n v="1"/>
    <n v="12.8717824074074"/>
    <n v="37.105914351851901"/>
    <n v="1"/>
    <n v="1"/>
    <n v="12.8717824074074"/>
    <n v="56"/>
    <n v="19"/>
    <n v="1"/>
    <n v="18"/>
    <n v="1"/>
    <m/>
  </r>
  <r>
    <s v="0002988945"/>
    <x v="2"/>
    <s v="Medium"/>
    <x v="1"/>
    <s v="RNAM"/>
    <s v="LINUX BROADCAST MANAGEMENT CENTER"/>
    <x v="6"/>
    <s v="#/#"/>
    <x v="1"/>
    <s v="EXUYUFE"/>
    <s v="HU84407"/>
    <s v="Formal answer provided"/>
    <x v="155"/>
    <d v="2016-05-10T00:00:00"/>
    <d v="2016-05-18T00:00:00"/>
    <x v="6"/>
    <n v="1"/>
    <n v="9.7510763888888903"/>
    <n v="33.9829513888889"/>
    <n v="1"/>
    <n v="1"/>
    <n v="9.7510763888888903"/>
    <n v="56"/>
    <n v="18.5"/>
    <n v="0.5"/>
    <n v="18"/>
    <n v="1"/>
    <m/>
  </r>
  <r>
    <s v="0002989708"/>
    <x v="2"/>
    <s v="Medium"/>
    <x v="1"/>
    <s v="RNAM"/>
    <s v="LINUX BROADCAST MANAGEMENT CENTER"/>
    <x v="6"/>
    <s v="#/#"/>
    <x v="1"/>
    <s v="EXUYUFE"/>
    <s v="#"/>
    <s v="Formal answer provided"/>
    <x v="156"/>
    <d v="2016-05-11T00:00:00"/>
    <d v="2016-05-16T00:00:00"/>
    <x v="7"/>
    <n v="1"/>
    <n v="8.7364467592592607"/>
    <n v="32.982997685185197"/>
    <n v="1"/>
    <n v="1"/>
    <n v="8.7364467592592607"/>
    <n v="56"/>
    <n v="19"/>
    <n v="1"/>
    <n v="18"/>
    <n v="1"/>
    <m/>
  </r>
  <r>
    <s v="0002991219"/>
    <x v="0"/>
    <s v="Medium"/>
    <x v="1"/>
    <s v="RNAM"/>
    <s v="LINUX BROADCAST MANAGEMENT CENTER"/>
    <x v="6"/>
    <s v="#/#"/>
    <x v="0"/>
    <s v="Not assigned"/>
    <s v="#"/>
    <s v="Finished"/>
    <x v="157"/>
    <m/>
    <m/>
    <x v="12"/>
    <n v="1"/>
    <n v="1.2905671296296299"/>
    <n v="1.2907407407407401"/>
    <n v="0"/>
    <n v="1"/>
    <n v="1.2899652777777799"/>
    <n v="56"/>
    <n v="6.5"/>
    <n v="6.5"/>
    <n v="0"/>
    <n v="1"/>
    <m/>
  </r>
  <r>
    <s v="0002992055"/>
    <x v="0"/>
    <s v="Medium"/>
    <x v="1"/>
    <s v="RNAM"/>
    <s v="LINUX BROADCAST MANAGEMENT CENTER"/>
    <x v="5"/>
    <s v="#/#"/>
    <x v="1"/>
    <s v="EZINZNG"/>
    <s v="#"/>
    <s v="Finished"/>
    <x v="158"/>
    <d v="2016-05-14T00:00:00"/>
    <d v="2016-05-18T00:00:00"/>
    <x v="3"/>
    <n v="1"/>
    <n v="4.9556828703703699"/>
    <n v="7.5640856481481498"/>
    <n v="1"/>
    <n v="1"/>
    <n v="4.9550694444444403"/>
    <n v="56"/>
    <n v="13.5"/>
    <n v="10.5"/>
    <n v="3"/>
    <n v="1"/>
    <m/>
  </r>
  <r>
    <s v="0002992411"/>
    <x v="0"/>
    <s v="Medium"/>
    <x v="1"/>
    <s v="RNAM"/>
    <s v="LINUX BROADCAST MANAGEMENT CENTER"/>
    <x v="5"/>
    <s v="#/#"/>
    <x v="1"/>
    <s v="EXUYUFE"/>
    <s v="#"/>
    <s v="Finished"/>
    <x v="159"/>
    <d v="2016-05-16T00:00:00"/>
    <d v="2016-05-31T00:00:00"/>
    <x v="1"/>
    <n v="1"/>
    <n v="18.742719907407398"/>
    <n v="18.742951388888901"/>
    <n v="1"/>
    <n v="1"/>
    <n v="18.7415162037037"/>
    <n v="56"/>
    <n v="20.5"/>
    <n v="4.5"/>
    <n v="16"/>
    <n v="1"/>
    <m/>
  </r>
  <r>
    <s v="0002992858"/>
    <x v="0"/>
    <s v="Medium"/>
    <x v="1"/>
    <s v="RNAM"/>
    <s v="LINUX BROADCAST MANAGEMENT CENTER"/>
    <x v="5"/>
    <s v="#/#"/>
    <x v="0"/>
    <s v="Not assigned"/>
    <s v="#"/>
    <s v="Finished"/>
    <x v="159"/>
    <m/>
    <m/>
    <x v="16"/>
    <n v="1"/>
    <n v="7.35084490740741"/>
    <n v="24.011412037037001"/>
    <n v="0"/>
    <n v="1"/>
    <n v="7.3502199074074097"/>
    <n v="56"/>
    <n v="7.5"/>
    <n v="7.5"/>
    <n v="0"/>
    <n v="1"/>
    <m/>
  </r>
  <r>
    <s v="0002996144"/>
    <x v="1"/>
    <s v="High"/>
    <x v="8"/>
    <s v="RLAM"/>
    <s v="LINUX BROADCAST MANAGEMENT CENTER"/>
    <x v="6"/>
    <s v="#/#"/>
    <x v="1"/>
    <s v="EXUYUFE"/>
    <s v="#"/>
    <s v="Formal answer provided"/>
    <x v="160"/>
    <d v="2016-05-20T00:00:00"/>
    <d v="2016-05-24T00:00:00"/>
    <x v="12"/>
    <n v="1"/>
    <n v="19.988217592592601"/>
    <n v="23.445173611111102"/>
    <n v="1"/>
    <n v="1"/>
    <n v="19.988217592592601"/>
    <n v="14"/>
    <n v="8"/>
    <n v="0"/>
    <n v="8"/>
    <n v="0"/>
    <m/>
  </r>
  <r>
    <s v="0002996290"/>
    <x v="0"/>
    <s v="High"/>
    <x v="1"/>
    <s v="RNAM"/>
    <s v="LINUX BROADCAST MANAGEMENT CENTER"/>
    <x v="5"/>
    <s v="#/#"/>
    <x v="0"/>
    <s v="Not assigned"/>
    <s v="#"/>
    <s v="Finished"/>
    <x v="160"/>
    <m/>
    <m/>
    <x v="20"/>
    <n v="1"/>
    <n v="18.787986111111099"/>
    <n v="18.788368055555601"/>
    <n v="0"/>
    <n v="1"/>
    <n v="18.7876851851852"/>
    <n v="28"/>
    <n v="15"/>
    <n v="15"/>
    <n v="0"/>
    <n v="1"/>
    <m/>
  </r>
  <r>
    <s v="0002996660"/>
    <x v="0"/>
    <s v="Medium"/>
    <x v="1"/>
    <s v="RNAM"/>
    <s v="LINUX BROADCAST DELIVERY CENTER"/>
    <x v="4"/>
    <s v="#/#"/>
    <x v="1"/>
    <s v="EZINZNG"/>
    <s v="#"/>
    <s v="Finished"/>
    <x v="161"/>
    <d v="2016-05-23T00:00:00"/>
    <d v="2016-05-30T00:00:00"/>
    <x v="4"/>
    <n v="1"/>
    <n v="8.8450578703703702"/>
    <n v="8.8453125000000004"/>
    <n v="1"/>
    <n v="1"/>
    <n v="8.8446064814814793"/>
    <n v="56"/>
    <n v="5"/>
    <n v="3"/>
    <n v="2"/>
    <n v="1"/>
    <m/>
  </r>
  <r>
    <s v="0002998108"/>
    <x v="0"/>
    <s v="Medium"/>
    <x v="1"/>
    <s v="RNAM"/>
    <s v="LINUX BROADCAST MANAGEMENT CENTER"/>
    <x v="5"/>
    <s v="#/#"/>
    <x v="1"/>
    <s v="EXUYUFE"/>
    <s v="#"/>
    <s v="Analysis, Waiting Customer"/>
    <x v="162"/>
    <d v="2016-05-25T00:00:00"/>
    <m/>
    <x v="19"/>
    <n v="1"/>
    <n v="10.3390393518519"/>
    <n v="19.442685185185201"/>
    <n v="0"/>
    <n v="0"/>
    <n v="0"/>
    <n v="56"/>
    <n v="11.5"/>
    <n v="8.5"/>
    <n v="3"/>
    <n v="0"/>
    <m/>
  </r>
  <r>
    <s v="0002999143"/>
    <x v="0"/>
    <s v="Medium"/>
    <x v="1"/>
    <s v="RNAM"/>
    <s v="LINUX BROADCAST DELIVERY CENTER"/>
    <x v="4"/>
    <s v="#/#"/>
    <x v="1"/>
    <s v="EZINZNG"/>
    <s v="#"/>
    <s v="Formal answer provided"/>
    <x v="163"/>
    <d v="2016-05-31T00:00:00"/>
    <d v="2016-06-02T00:00:00"/>
    <x v="0"/>
    <n v="1"/>
    <n v="8.8962847222222194"/>
    <n v="18.277800925925899"/>
    <n v="1"/>
    <n v="1"/>
    <n v="8.8962847222222194"/>
    <n v="56"/>
    <n v="11"/>
    <n v="8"/>
    <n v="3"/>
    <n v="1"/>
    <m/>
  </r>
  <r>
    <s v="0002999576"/>
    <x v="0"/>
    <s v="Medium"/>
    <x v="1"/>
    <s v="RNAM"/>
    <s v="LINUX BROADCAST MANAGEMENT CENTER"/>
    <x v="5"/>
    <s v="#/#"/>
    <x v="0"/>
    <s v="Not assigned"/>
    <s v="#"/>
    <s v="Pre-analysis"/>
    <x v="164"/>
    <m/>
    <m/>
    <x v="19"/>
    <n v="1"/>
    <n v="17.683055555555601"/>
    <n v="17.683055555555601"/>
    <n v="0"/>
    <n v="0"/>
    <n v="0"/>
    <n v="56"/>
    <n v="3"/>
    <n v="3"/>
    <n v="0"/>
    <n v="0"/>
    <m/>
  </r>
  <r>
    <s v="0003002470"/>
    <x v="0"/>
    <s v="Low"/>
    <x v="1"/>
    <s v="RNAM"/>
    <s v="LINUX BROADCAST MANAGEMENT CENTER"/>
    <x v="5"/>
    <s v="#/#"/>
    <x v="0"/>
    <s v="Not assigned"/>
    <s v="#"/>
    <s v="Finished"/>
    <x v="165"/>
    <m/>
    <m/>
    <x v="2"/>
    <n v="1"/>
    <n v="2.9329861111111102"/>
    <n v="2.9333449074074101"/>
    <n v="0"/>
    <n v="1"/>
    <n v="2.92987268518519"/>
    <n v="140"/>
    <n v="6"/>
    <n v="6"/>
    <n v="0"/>
    <n v="1"/>
    <m/>
  </r>
  <r>
    <s v="0003002513"/>
    <x v="0"/>
    <s v="Low"/>
    <x v="1"/>
    <s v="RNAM"/>
    <s v="LINUX BROADCAST DELIVERY CENTER"/>
    <x v="4"/>
    <s v="#/#"/>
    <x v="1"/>
    <s v="EXUYUFE"/>
    <s v="#"/>
    <s v="Finished"/>
    <x v="165"/>
    <d v="2016-05-31T00:00:00"/>
    <d v="2016-06-07T00:00:00"/>
    <x v="17"/>
    <n v="1"/>
    <n v="8.0092708333333302"/>
    <n v="8.9521527777777798"/>
    <n v="1"/>
    <n v="1"/>
    <n v="8.0084490740740701"/>
    <n v="140"/>
    <n v="18"/>
    <n v="5"/>
    <n v="13"/>
    <n v="1"/>
    <m/>
  </r>
  <r>
    <s v="0003002690"/>
    <x v="1"/>
    <s v="Medium"/>
    <x v="4"/>
    <s v="RASO"/>
    <s v="LINUX BROADCAST MANAGEMENT CENTER"/>
    <x v="6"/>
    <s v="#/#"/>
    <x v="1"/>
    <s v="EKONGLI"/>
    <s v="#"/>
    <s v="Analysis"/>
    <x v="166"/>
    <d v="2016-06-01T00:00:00"/>
    <m/>
    <x v="19"/>
    <n v="1"/>
    <n v="11.8397222222222"/>
    <n v="11.8397222222222"/>
    <n v="0"/>
    <n v="0"/>
    <n v="0"/>
    <n v="45"/>
    <n v="16.1666666666667"/>
    <n v="0"/>
    <n v="16.1666666666667"/>
    <n v="0"/>
    <m/>
  </r>
  <r>
    <s v="0003004093"/>
    <x v="0"/>
    <s v="Low"/>
    <x v="1"/>
    <s v="RNAM"/>
    <s v="LINUX BROADCAST DELIVERY CENTER"/>
    <x v="4"/>
    <s v="#/#"/>
    <x v="0"/>
    <s v="Not assigned"/>
    <s v="#"/>
    <s v="Finished"/>
    <x v="167"/>
    <m/>
    <m/>
    <x v="12"/>
    <n v="1"/>
    <n v="5.7444328703703702"/>
    <n v="5.7452662037037001"/>
    <n v="0"/>
    <n v="1"/>
    <n v="5.73509259259259"/>
    <n v="140"/>
    <n v="6.5"/>
    <n v="6.5"/>
    <n v="0"/>
    <n v="1"/>
    <m/>
  </r>
  <r>
    <s v="0003004841"/>
    <x v="0"/>
    <s v="Low"/>
    <x v="1"/>
    <s v="RNAM"/>
    <s v="LINUX BROADCAST DELIVERY CENTER"/>
    <x v="4"/>
    <s v="#/#"/>
    <x v="0"/>
    <s v="Not assigned"/>
    <s v="#"/>
    <s v="Finished"/>
    <x v="168"/>
    <m/>
    <m/>
    <x v="0"/>
    <n v="1"/>
    <n v="4.7418865740740701"/>
    <n v="4.7708101851851898"/>
    <n v="0"/>
    <n v="1"/>
    <n v="4.7335648148148204"/>
    <n v="140"/>
    <n v="4.5"/>
    <n v="4.5"/>
    <n v="0"/>
    <n v="1"/>
    <m/>
  </r>
  <r>
    <s v="0003005007"/>
    <x v="0"/>
    <s v="Medium"/>
    <x v="1"/>
    <s v="RNAM"/>
    <s v="LINUX BROADCAST DELIVERY CENTER"/>
    <x v="4"/>
    <s v="#/#"/>
    <x v="1"/>
    <s v="EXUYUFE"/>
    <s v="#"/>
    <s v="Analysis"/>
    <x v="169"/>
    <d v="2016-06-06T00:00:00"/>
    <m/>
    <x v="19"/>
    <n v="1"/>
    <n v="8.2692013888888898"/>
    <n v="8.2692013888888898"/>
    <n v="0"/>
    <n v="0"/>
    <n v="0"/>
    <n v="56"/>
    <n v="21"/>
    <n v="11"/>
    <n v="10"/>
    <n v="0"/>
    <m/>
  </r>
  <r>
    <s v="0003005677"/>
    <x v="0"/>
    <s v="Medium"/>
    <x v="1"/>
    <s v="RNAM"/>
    <s v="LINUX BROADCAST MANAGEMENT CENTER"/>
    <x v="5"/>
    <s v="#/#"/>
    <x v="1"/>
    <s v="EKONGLI"/>
    <s v="#"/>
    <s v="Analysis"/>
    <x v="170"/>
    <d v="2016-06-07T00:00:00"/>
    <m/>
    <x v="19"/>
    <n v="1"/>
    <n v="6.4630324074074101"/>
    <n v="6.4630324074074101"/>
    <n v="0"/>
    <n v="0"/>
    <n v="0"/>
    <n v="56"/>
    <n v="3"/>
    <n v="2"/>
    <n v="1"/>
    <n v="0"/>
    <m/>
  </r>
  <r>
    <s v="0003005763"/>
    <x v="1"/>
    <s v="High"/>
    <x v="1"/>
    <s v="RNAM"/>
    <s v="LINUX BROADCAST MANAGEMENT CENTER"/>
    <x v="6"/>
    <s v="#/#"/>
    <x v="1"/>
    <s v="EZINZNG"/>
    <s v="#"/>
    <s v="Analysis"/>
    <x v="170"/>
    <d v="2016-06-07T00:00:00"/>
    <m/>
    <x v="19"/>
    <n v="1"/>
    <n v="6.3704282407407398"/>
    <n v="6.3704282407407398"/>
    <n v="0"/>
    <n v="0"/>
    <n v="0"/>
    <n v="28"/>
    <n v="0"/>
    <n v="0"/>
    <n v="0"/>
    <n v="0"/>
    <m/>
  </r>
  <r>
    <s v="0003005885"/>
    <x v="0"/>
    <s v="Low"/>
    <x v="1"/>
    <s v="RNAM"/>
    <s v="LINUX BROADCAST MANAGEMENT CENTER"/>
    <x v="5"/>
    <s v="#/#"/>
    <x v="0"/>
    <s v="Not assigned"/>
    <s v="#"/>
    <s v="Finished"/>
    <x v="170"/>
    <m/>
    <m/>
    <x v="11"/>
    <n v="1"/>
    <n v="2.95418981481482"/>
    <n v="2.9549537037036999"/>
    <n v="0"/>
    <n v="1"/>
    <n v="2.95378472222222"/>
    <n v="140"/>
    <n v="13"/>
    <n v="13"/>
    <n v="0"/>
    <n v="1"/>
    <m/>
  </r>
  <r>
    <s v="0003005891"/>
    <x v="0"/>
    <s v="Low"/>
    <x v="1"/>
    <s v="RNAM"/>
    <s v="LINUX BROADCAST MANAGEMENT CENTER"/>
    <x v="5"/>
    <s v="#/#"/>
    <x v="0"/>
    <s v="Not assigned"/>
    <s v="#"/>
    <s v="Finished"/>
    <x v="170"/>
    <m/>
    <m/>
    <x v="11"/>
    <n v="1"/>
    <n v="2.9001157407407399"/>
    <n v="2.9003587962962998"/>
    <n v="0"/>
    <n v="1"/>
    <n v="2.8997453703703702"/>
    <n v="140"/>
    <n v="13"/>
    <n v="13"/>
    <n v="0"/>
    <n v="1"/>
    <m/>
  </r>
  <r>
    <s v="0003006744"/>
    <x v="0"/>
    <s v="Medium"/>
    <x v="1"/>
    <s v="RNAM"/>
    <s v="LINUX BROADCAST MANAGEMENT CENTER"/>
    <x v="5"/>
    <s v="#/#"/>
    <x v="0"/>
    <s v="Not assigned"/>
    <s v="#"/>
    <s v="Pre-analysis, Waiting customer"/>
    <x v="171"/>
    <m/>
    <m/>
    <x v="19"/>
    <n v="1"/>
    <n v="2.9932060185185199"/>
    <n v="5.2711574074074097"/>
    <n v="0"/>
    <n v="0"/>
    <n v="0"/>
    <n v="56"/>
    <n v="2.5"/>
    <n v="2.5"/>
    <n v="0"/>
    <n v="0"/>
    <m/>
  </r>
  <r>
    <s v="0003007869"/>
    <x v="0"/>
    <s v="Emergency"/>
    <x v="1"/>
    <s v="RNAM"/>
    <s v="LINUX BROADCAST DELIVERY CENTER"/>
    <x v="4"/>
    <s v="#/#"/>
    <x v="1"/>
    <s v="EJJEWWN"/>
    <s v="#"/>
    <s v="Finished"/>
    <x v="172"/>
    <d v="2016-06-09T00:00:00"/>
    <d v="2016-06-09T00:00:00"/>
    <x v="9"/>
    <n v="1"/>
    <n v="1.5393518518518499E-3"/>
    <n v="0.105347222222222"/>
    <n v="1"/>
    <n v="1"/>
    <n v="9.7222222222222198E-4"/>
    <n v="3"/>
    <n v="5.8333333333333304"/>
    <n v="4.5"/>
    <n v="1.3333333333333299"/>
    <n v="1"/>
    <m/>
  </r>
  <r>
    <s v="0003007981"/>
    <x v="0"/>
    <s v="Medium"/>
    <x v="1"/>
    <s v="RNAM"/>
    <s v="LINUX BROADCAST MANAGEMENT CENTER"/>
    <x v="5"/>
    <s v="#/#"/>
    <x v="0"/>
    <s v="Not assigned"/>
    <s v="#"/>
    <s v="Pre-analysis"/>
    <x v="172"/>
    <m/>
    <m/>
    <x v="19"/>
    <n v="1"/>
    <n v="3.6172222222222201"/>
    <n v="3.6172222222222201"/>
    <n v="0"/>
    <n v="0"/>
    <n v="0"/>
    <n v="56"/>
    <n v="4"/>
    <n v="4"/>
    <n v="0"/>
    <n v="0"/>
    <m/>
  </r>
  <r>
    <s v="0003008368"/>
    <x v="0"/>
    <s v="Low"/>
    <x v="1"/>
    <s v="RNAM"/>
    <s v="LINUX BROADCAST DELIVERY CENTER"/>
    <x v="4"/>
    <s v="#/#"/>
    <x v="0"/>
    <s v="Not assigned"/>
    <s v="#"/>
    <s v="Analysis, Assigned Ext"/>
    <x v="172"/>
    <m/>
    <m/>
    <x v="11"/>
    <n v="1"/>
    <n v="3.2815046296296302"/>
    <n v="3.2815046296296302"/>
    <n v="0"/>
    <n v="0"/>
    <n v="0"/>
    <n v="140"/>
    <n v="0"/>
    <n v="0"/>
    <n v="0"/>
    <n v="0"/>
    <m/>
  </r>
  <r>
    <m/>
    <x v="4"/>
    <m/>
    <x v="9"/>
    <m/>
    <m/>
    <x v="7"/>
    <m/>
    <x v="3"/>
    <m/>
    <m/>
    <m/>
    <x v="173"/>
    <m/>
    <m/>
    <x v="21"/>
    <m/>
    <m/>
    <m/>
    <m/>
    <m/>
    <m/>
    <m/>
    <m/>
    <m/>
    <m/>
    <m/>
    <m/>
  </r>
  <r>
    <m/>
    <x v="4"/>
    <m/>
    <x v="9"/>
    <m/>
    <m/>
    <x v="7"/>
    <m/>
    <x v="3"/>
    <m/>
    <m/>
    <m/>
    <x v="173"/>
    <m/>
    <m/>
    <x v="21"/>
    <m/>
    <m/>
    <m/>
    <m/>
    <m/>
    <m/>
    <m/>
    <m/>
    <m/>
    <m/>
    <m/>
    <m/>
  </r>
  <r>
    <m/>
    <x v="4"/>
    <m/>
    <x v="9"/>
    <m/>
    <m/>
    <x v="7"/>
    <m/>
    <x v="3"/>
    <m/>
    <m/>
    <m/>
    <x v="173"/>
    <m/>
    <m/>
    <x v="2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7:F12" firstHeaderRow="1" firstDataRow="2" firstDataCol="1" rowPageCount="5" colPageCount="1"/>
  <pivotFields count="29">
    <pivotField dataField="1" showAll="0"/>
    <pivotField axis="axisPage" multipleItemSelectionAllowed="1" showAll="0">
      <items count="6">
        <item x="3"/>
        <item x="2"/>
        <item x="0"/>
        <item x="1"/>
        <item x="4"/>
        <item t="default"/>
      </items>
    </pivotField>
    <pivotField showAll="0"/>
    <pivotField axis="axisRow" showAll="0">
      <items count="11">
        <item x="2"/>
        <item x="6"/>
        <item x="5"/>
        <item x="3"/>
        <item x="4"/>
        <item x="8"/>
        <item x="7"/>
        <item x="1"/>
        <item x="0"/>
        <item x="9"/>
        <item t="default"/>
      </items>
    </pivotField>
    <pivotField showAll="0"/>
    <pivotField showAll="0"/>
    <pivotField axis="axisPage" multipleItemSelectionAllowed="1" showAll="0">
      <items count="9">
        <item h="1" x="1"/>
        <item h="1" x="3"/>
        <item h="1" x="4"/>
        <item h="1" x="0"/>
        <item h="1" x="2"/>
        <item h="1" x="5"/>
        <item x="6"/>
        <item h="1" x="7"/>
        <item t="default"/>
      </items>
    </pivotField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axis="axisCol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Page" multipleItemSelectionAllowed="1" showAll="0">
      <items count="23">
        <item x="12"/>
        <item x="17"/>
        <item x="15"/>
        <item x="4"/>
        <item x="0"/>
        <item x="2"/>
        <item x="9"/>
        <item x="16"/>
        <item x="5"/>
        <item x="3"/>
        <item x="1"/>
        <item x="20"/>
        <item x="11"/>
        <item x="13"/>
        <item x="8"/>
        <item x="6"/>
        <item x="7"/>
        <item x="19"/>
        <item x="18"/>
        <item x="10"/>
        <item x="14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5">
        <item h="1" x="0"/>
        <item h="1" sd="0" x="1"/>
        <item h="1" sd="0" x="2"/>
        <item x="3"/>
        <item h="1" x="4"/>
      </items>
    </pivotField>
  </pivotFields>
  <rowFields count="1">
    <field x="3"/>
  </rowFields>
  <rowItems count="4">
    <i>
      <x v="4"/>
    </i>
    <i>
      <x v="5"/>
    </i>
    <i>
      <x v="7"/>
    </i>
    <i t="grand">
      <x/>
    </i>
  </rowItems>
  <colFields count="1">
    <field x="12"/>
  </colFields>
  <colItems count="5">
    <i>
      <x v="3"/>
    </i>
    <i>
      <x v="4"/>
    </i>
    <i>
      <x v="5"/>
    </i>
    <i>
      <x v="6"/>
    </i>
    <i t="grand">
      <x/>
    </i>
  </colItems>
  <pageFields count="5">
    <pageField fld="28" hier="-1"/>
    <pageField fld="8" hier="-1"/>
    <pageField fld="1" hier="-1"/>
    <pageField fld="15" hier="-1"/>
    <pageField fld="6" hier="-1"/>
  </pageFields>
  <dataFields count="1">
    <dataField name="Count of CSR 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AB432" totalsRowShown="0" headerRowDxfId="3" headerRowBorderDxfId="2" tableBorderDxfId="1" headerRowCellStyle="SAPMemberCell">
  <autoFilter ref="A1:AB432"/>
  <sortState ref="A165:AA173">
    <sortCondition ref="M1:M251"/>
  </sortState>
  <tableColumns count="28">
    <tableColumn id="1" name="CSR Number" dataDxfId="0"/>
    <tableColumn id="2" name="CSR Type"/>
    <tableColumn id="3" name="Severity"/>
    <tableColumn id="4" name="Customer"/>
    <tableColumn id="5" name="Customer Region"/>
    <tableColumn id="6" name="Node Type"/>
    <tableColumn id="7" name="Node"/>
    <tableColumn id="8" name="Hot CSR"/>
    <tableColumn id="9" name="GS LEROU"/>
    <tableColumn id="10" name="GS LEER"/>
    <tableColumn id="11" name="TR Number"/>
    <tableColumn id="12" name="Last Status"/>
    <tableColumn id="13" name="Date: Created"/>
    <tableColumn id="14" name="Date: First LS-&gt;GS"/>
    <tableColumn id="28" name="Date: Last GS-&gt;LS"/>
    <tableColumn id="15" name="Cause Code"/>
    <tableColumn id="16" name="CSR [Vol]"/>
    <tableColumn id="17" name="Duration [Days]"/>
    <tableColumn id="18" name="Duration incl Wait Time [Days]"/>
    <tableColumn id="19" name="IA Prov [Vol]"/>
    <tableColumn id="20" name="RST Prov [Vol]"/>
    <tableColumn id="21" name="RST Prov [Days]"/>
    <tableColumn id="22" name="RST Tgt [Days]"/>
    <tableColumn id="23" name="Total Hours [Hrs]"/>
    <tableColumn id="24" name="LS Hours [Hrs]"/>
    <tableColumn id="25" name="GS Hours [Hrs]"/>
    <tableColumn id="26" name="RST Prov on Tgt [Vol]"/>
    <tableColumn id="27" name="Helper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7:B104" totalsRowShown="0">
  <autoFilter ref="A47:B104"/>
  <sortState ref="A48:B104">
    <sortCondition descending="1" ref="B47:B104"/>
  </sortState>
  <tableColumns count="2">
    <tableColumn id="1" name="Customers"/>
    <tableColumn id="2" name="Column1">
      <calculatedColumnFormula>COUNTIFS(#REF!,A48,#REF!,1)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0:B42" totalsRowShown="0">
  <autoFilter ref="A20:B42"/>
  <sortState ref="A21:B42">
    <sortCondition descending="1" ref="B20:B42"/>
  </sortState>
  <tableColumns count="2">
    <tableColumn id="1" name="Cause Code"/>
    <tableColumn id="2" name="No">
      <calculatedColumnFormula>COUNTIFS(#REF!,A21,#REF!,1)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3" Type="http://schemas.openxmlformats.org/officeDocument/2006/relationships/customProperty" Target="../customProperty2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" Type="http://schemas.openxmlformats.org/officeDocument/2006/relationships/customProperty" Target="../customProperty1.bin"/><Relationship Id="rId16" Type="http://schemas.openxmlformats.org/officeDocument/2006/relationships/control" Target="../activeX/activeX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24"/>
  <sheetViews>
    <sheetView topLeftCell="A7" workbookViewId="0">
      <selection activeCell="A3" sqref="A3"/>
    </sheetView>
  </sheetViews>
  <sheetFormatPr defaultRowHeight="15" x14ac:dyDescent="0.25"/>
  <cols>
    <col min="2" max="2" width="11.7109375" customWidth="1"/>
  </cols>
  <sheetData>
    <row r="2" spans="1:4" x14ac:dyDescent="0.25">
      <c r="A2" s="15" t="s">
        <v>203</v>
      </c>
    </row>
    <row r="3" spans="1:4" x14ac:dyDescent="0.25">
      <c r="A3" t="s">
        <v>721</v>
      </c>
    </row>
    <row r="6" spans="1:4" x14ac:dyDescent="0.25">
      <c r="A6" s="15" t="s">
        <v>204</v>
      </c>
    </row>
    <row r="7" spans="1:4" x14ac:dyDescent="0.25">
      <c r="A7" t="s">
        <v>205</v>
      </c>
      <c r="C7" s="6" t="s">
        <v>153</v>
      </c>
    </row>
    <row r="10" spans="1:4" x14ac:dyDescent="0.25">
      <c r="A10" s="15" t="s">
        <v>206</v>
      </c>
    </row>
    <row r="11" spans="1:4" x14ac:dyDescent="0.25">
      <c r="A11" t="s">
        <v>208</v>
      </c>
      <c r="C11" s="6" t="s">
        <v>157</v>
      </c>
    </row>
    <row r="12" spans="1:4" x14ac:dyDescent="0.25">
      <c r="A12" t="s">
        <v>209</v>
      </c>
      <c r="C12" s="6" t="s">
        <v>153</v>
      </c>
    </row>
    <row r="14" spans="1:4" x14ac:dyDescent="0.25">
      <c r="A14" s="15" t="s">
        <v>207</v>
      </c>
    </row>
    <row r="15" spans="1:4" x14ac:dyDescent="0.25">
      <c r="B15" s="6" t="s">
        <v>210</v>
      </c>
      <c r="C15" t="s">
        <v>202</v>
      </c>
      <c r="D15" t="s">
        <v>201</v>
      </c>
    </row>
    <row r="16" spans="1:4" x14ac:dyDescent="0.25">
      <c r="B16" s="6" t="s">
        <v>211</v>
      </c>
      <c r="C16">
        <v>2016</v>
      </c>
    </row>
    <row r="17" spans="1:3" x14ac:dyDescent="0.25">
      <c r="C17" s="6"/>
    </row>
    <row r="18" spans="1:3" x14ac:dyDescent="0.25">
      <c r="A18" t="s">
        <v>208</v>
      </c>
      <c r="B18" s="16" t="s">
        <v>153</v>
      </c>
    </row>
    <row r="19" spans="1:3" x14ac:dyDescent="0.25">
      <c r="A19" t="s">
        <v>209</v>
      </c>
      <c r="B19" s="16" t="s">
        <v>550</v>
      </c>
    </row>
    <row r="20" spans="1:3" x14ac:dyDescent="0.25">
      <c r="A20" t="s">
        <v>211</v>
      </c>
      <c r="B20">
        <v>2016</v>
      </c>
    </row>
    <row r="22" spans="1:3" x14ac:dyDescent="0.25">
      <c r="A22" s="17"/>
    </row>
    <row r="23" spans="1:3" x14ac:dyDescent="0.25">
      <c r="A23" t="s">
        <v>551</v>
      </c>
      <c r="B23" s="21" t="s">
        <v>559</v>
      </c>
    </row>
    <row r="24" spans="1:3" x14ac:dyDescent="0.25">
      <c r="A24" t="s">
        <v>211</v>
      </c>
      <c r="B24">
        <v>2016</v>
      </c>
    </row>
  </sheetData>
  <dataValidations count="2">
    <dataValidation type="list" allowBlank="1" showInputMessage="1" showErrorMessage="1" sqref="B23">
      <formula1>"BDC15A,BMC15A,BMC15B,BDC16B,BMC16B,ALL"</formula1>
    </dataValidation>
    <dataValidation type="list" allowBlank="1" showInputMessage="1" showErrorMessage="1" sqref="B24 B20 C16">
      <formula1>"2015,2016,2017"</formula1>
    </dataValidation>
  </dataValidations>
  <pageMargins left="0.7" right="0.7" top="0.75" bottom="0.75" header="0.3" footer="0.3"/>
  <pageSetup paperSize="9" orientation="portrait" r:id="rId1"/>
  <customProperties>
    <customPr name="_pios_id" r:id="rId2"/>
    <customPr name="serializedData" r:id="rId3"/>
  </customProperties>
  <drawing r:id="rId4"/>
  <legacyDrawing r:id="rId5"/>
  <controls>
    <mc:AlternateContent xmlns:mc="http://schemas.openxmlformats.org/markup-compatibility/2006">
      <mc:Choice Requires="x14">
        <control shapeId="2054" r:id="rId6" name="openFile">
          <controlPr autoLine="0" r:id="rId7">
            <anchor moveWithCells="1">
              <from>
                <xdr:col>1</xdr:col>
                <xdr:colOff>733425</xdr:colOff>
                <xdr:row>0</xdr:row>
                <xdr:rowOff>76200</xdr:rowOff>
              </from>
              <to>
                <xdr:col>3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2054" r:id="rId6" name="openFile"/>
      </mc:Fallback>
    </mc:AlternateContent>
    <mc:AlternateContent xmlns:mc="http://schemas.openxmlformats.org/markup-compatibility/2006">
      <mc:Choice Requires="x14">
        <control shapeId="2055" r:id="rId8" name="CleanContent">
          <controlPr autoLine="0" r:id="rId9">
            <anchor moveWithCells="1">
              <from>
                <xdr:col>1</xdr:col>
                <xdr:colOff>723900</xdr:colOff>
                <xdr:row>4</xdr:row>
                <xdr:rowOff>114300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2055" r:id="rId8" name="CleanContent"/>
      </mc:Fallback>
    </mc:AlternateContent>
    <mc:AlternateContent xmlns:mc="http://schemas.openxmlformats.org/markup-compatibility/2006">
      <mc:Choice Requires="x14">
        <control shapeId="2057" r:id="rId10" name="CopyData">
          <controlPr autoLine="0" r:id="rId11">
            <anchor moveWithCells="1">
              <from>
                <xdr:col>1</xdr:col>
                <xdr:colOff>733425</xdr:colOff>
                <xdr:row>8</xdr:row>
                <xdr:rowOff>95250</xdr:rowOff>
              </from>
              <to>
                <xdr:col>3</xdr:col>
                <xdr:colOff>0</xdr:colOff>
                <xdr:row>10</xdr:row>
                <xdr:rowOff>19050</xdr:rowOff>
              </to>
            </anchor>
          </controlPr>
        </control>
      </mc:Choice>
      <mc:Fallback>
        <control shapeId="2057" r:id="rId10" name="CopyData"/>
      </mc:Fallback>
    </mc:AlternateContent>
    <mc:AlternateContent xmlns:mc="http://schemas.openxmlformats.org/markup-compatibility/2006">
      <mc:Choice Requires="x14">
        <control shapeId="2058" r:id="rId12" name="InflowData">
          <controlPr autoLine="0" r:id="rId13">
            <anchor moveWithCells="1">
              <from>
                <xdr:col>2</xdr:col>
                <xdr:colOff>0</xdr:colOff>
                <xdr:row>12</xdr:row>
                <xdr:rowOff>95250</xdr:rowOff>
              </from>
              <to>
                <xdr:col>3</xdr:col>
                <xdr:colOff>19050</xdr:colOff>
                <xdr:row>14</xdr:row>
                <xdr:rowOff>19050</xdr:rowOff>
              </to>
            </anchor>
          </controlPr>
        </control>
      </mc:Choice>
      <mc:Fallback>
        <control shapeId="2058" r:id="rId12" name="InflowData"/>
      </mc:Fallback>
    </mc:AlternateContent>
    <mc:AlternateContent xmlns:mc="http://schemas.openxmlformats.org/markup-compatibility/2006">
      <mc:Choice Requires="x14">
        <control shapeId="2059" r:id="rId14" name="Statistics">
          <controlPr autoLine="0" r:id="rId15">
            <anchor moveWithCells="1">
              <from>
                <xdr:col>2</xdr:col>
                <xdr:colOff>47625</xdr:colOff>
                <xdr:row>17</xdr:row>
                <xdr:rowOff>133350</xdr:rowOff>
              </from>
              <to>
                <xdr:col>3</xdr:col>
                <xdr:colOff>295275</xdr:colOff>
                <xdr:row>19</xdr:row>
                <xdr:rowOff>57150</xdr:rowOff>
              </to>
            </anchor>
          </controlPr>
        </control>
      </mc:Choice>
      <mc:Fallback>
        <control shapeId="2059" r:id="rId14" name="Statistics"/>
      </mc:Fallback>
    </mc:AlternateContent>
    <mc:AlternateContent xmlns:mc="http://schemas.openxmlformats.org/markup-compatibility/2006">
      <mc:Choice Requires="x14">
        <control shapeId="2063" r:id="rId16" name="Customers">
          <controlPr autoLine="0" r:id="rId17">
            <anchor moveWithCells="1">
              <from>
                <xdr:col>2</xdr:col>
                <xdr:colOff>219075</xdr:colOff>
                <xdr:row>21</xdr:row>
                <xdr:rowOff>152400</xdr:rowOff>
              </from>
              <to>
                <xdr:col>3</xdr:col>
                <xdr:colOff>523875</xdr:colOff>
                <xdr:row>23</xdr:row>
                <xdr:rowOff>76200</xdr:rowOff>
              </to>
            </anchor>
          </controlPr>
        </control>
      </mc:Choice>
      <mc:Fallback>
        <control shapeId="2063" r:id="rId16" name="Custom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68"/>
  <sheetViews>
    <sheetView topLeftCell="A48" workbookViewId="0">
      <selection activeCell="D59" sqref="D59:E59"/>
    </sheetView>
  </sheetViews>
  <sheetFormatPr defaultRowHeight="15" x14ac:dyDescent="0.25"/>
  <sheetData>
    <row r="1" spans="1:8" x14ac:dyDescent="0.25">
      <c r="A1" s="18" t="s">
        <v>549</v>
      </c>
      <c r="B1" s="18" t="s">
        <v>542</v>
      </c>
      <c r="C1" s="18" t="s">
        <v>543</v>
      </c>
      <c r="D1" s="18" t="s">
        <v>544</v>
      </c>
      <c r="E1" s="18" t="s">
        <v>545</v>
      </c>
      <c r="F1" s="18" t="s">
        <v>546</v>
      </c>
      <c r="G1" s="18" t="s">
        <v>547</v>
      </c>
      <c r="H1" s="18" t="s">
        <v>548</v>
      </c>
    </row>
    <row r="2" spans="1:8" x14ac:dyDescent="0.25">
      <c r="A2" t="s">
        <v>562</v>
      </c>
      <c r="B2">
        <v>7</v>
      </c>
      <c r="C2">
        <v>3</v>
      </c>
      <c r="D2">
        <v>2</v>
      </c>
      <c r="E2">
        <v>0</v>
      </c>
      <c r="F2">
        <v>0</v>
      </c>
      <c r="G2">
        <v>0</v>
      </c>
      <c r="H2">
        <v>0</v>
      </c>
    </row>
    <row r="3" spans="1:8" x14ac:dyDescent="0.25">
      <c r="A3" t="s">
        <v>560</v>
      </c>
      <c r="B3">
        <v>1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25">
      <c r="A4" t="s">
        <v>552</v>
      </c>
      <c r="B4">
        <v>146</v>
      </c>
      <c r="C4">
        <v>31</v>
      </c>
      <c r="D4">
        <v>25</v>
      </c>
      <c r="E4">
        <v>6</v>
      </c>
      <c r="F4">
        <v>4</v>
      </c>
      <c r="G4">
        <v>0</v>
      </c>
      <c r="H4">
        <v>0</v>
      </c>
    </row>
    <row r="5" spans="1:8" x14ac:dyDescent="0.25">
      <c r="A5" t="s">
        <v>557</v>
      </c>
      <c r="B5">
        <v>67</v>
      </c>
      <c r="C5">
        <v>15</v>
      </c>
      <c r="D5">
        <v>13</v>
      </c>
      <c r="E5">
        <v>0</v>
      </c>
      <c r="F5">
        <v>1</v>
      </c>
      <c r="G5">
        <v>0</v>
      </c>
      <c r="H5">
        <v>0</v>
      </c>
    </row>
    <row r="6" spans="1:8" x14ac:dyDescent="0.25">
      <c r="A6" t="s">
        <v>558</v>
      </c>
      <c r="B6">
        <v>34</v>
      </c>
      <c r="C6">
        <v>25</v>
      </c>
      <c r="D6">
        <v>2</v>
      </c>
      <c r="E6">
        <v>5</v>
      </c>
      <c r="F6">
        <v>0</v>
      </c>
      <c r="G6">
        <v>0</v>
      </c>
      <c r="H6">
        <v>0</v>
      </c>
    </row>
    <row r="7" spans="1:8" x14ac:dyDescent="0.25">
      <c r="A7" t="s">
        <v>563</v>
      </c>
      <c r="B7">
        <v>7</v>
      </c>
      <c r="C7">
        <v>5</v>
      </c>
      <c r="D7">
        <v>1</v>
      </c>
      <c r="E7">
        <v>1</v>
      </c>
      <c r="F7">
        <v>2</v>
      </c>
      <c r="G7">
        <v>0</v>
      </c>
      <c r="H7">
        <v>0</v>
      </c>
    </row>
    <row r="8" spans="1:8" x14ac:dyDescent="0.25">
      <c r="A8" t="s">
        <v>561</v>
      </c>
      <c r="B8">
        <v>3</v>
      </c>
      <c r="C8">
        <v>2</v>
      </c>
      <c r="D8">
        <v>0</v>
      </c>
      <c r="E8">
        <v>1</v>
      </c>
      <c r="F8">
        <v>0</v>
      </c>
      <c r="G8">
        <v>0</v>
      </c>
      <c r="H8">
        <v>0</v>
      </c>
    </row>
    <row r="11" spans="1:8" x14ac:dyDescent="0.25">
      <c r="A11" s="19"/>
      <c r="D11" s="40" t="s">
        <v>552</v>
      </c>
      <c r="E11" s="40"/>
    </row>
    <row r="12" spans="1:8" x14ac:dyDescent="0.25">
      <c r="A12" s="24" t="s">
        <v>553</v>
      </c>
      <c r="B12" s="23" t="s">
        <v>542</v>
      </c>
      <c r="C12" s="23" t="s">
        <v>543</v>
      </c>
      <c r="D12" s="23" t="s">
        <v>544</v>
      </c>
      <c r="E12" s="23" t="s">
        <v>545</v>
      </c>
      <c r="F12" s="23" t="s">
        <v>546</v>
      </c>
      <c r="G12" s="23" t="s">
        <v>547</v>
      </c>
      <c r="H12" s="24" t="s">
        <v>548</v>
      </c>
    </row>
    <row r="13" spans="1:8" x14ac:dyDescent="0.25">
      <c r="A13" t="s">
        <v>554</v>
      </c>
      <c r="B13">
        <v>141</v>
      </c>
      <c r="C13">
        <v>26</v>
      </c>
      <c r="D13">
        <v>25</v>
      </c>
      <c r="E13">
        <v>4</v>
      </c>
      <c r="F13">
        <v>4</v>
      </c>
      <c r="G13">
        <v>0</v>
      </c>
      <c r="H13">
        <v>0</v>
      </c>
    </row>
    <row r="14" spans="1:8" x14ac:dyDescent="0.25">
      <c r="A14" t="s">
        <v>555</v>
      </c>
      <c r="B14">
        <v>3</v>
      </c>
      <c r="C14">
        <v>3</v>
      </c>
      <c r="D14">
        <v>0</v>
      </c>
      <c r="E14">
        <v>1</v>
      </c>
      <c r="F14">
        <v>0</v>
      </c>
      <c r="G14">
        <v>0</v>
      </c>
      <c r="H14">
        <v>0</v>
      </c>
    </row>
    <row r="15" spans="1:8" x14ac:dyDescent="0.25">
      <c r="A15" t="s">
        <v>556</v>
      </c>
      <c r="B15">
        <v>1</v>
      </c>
      <c r="C15">
        <v>1</v>
      </c>
      <c r="D15">
        <v>0</v>
      </c>
      <c r="E15">
        <v>1</v>
      </c>
      <c r="F15">
        <v>0</v>
      </c>
      <c r="G15">
        <v>0</v>
      </c>
      <c r="H15">
        <v>0</v>
      </c>
    </row>
    <row r="16" spans="1:8" x14ac:dyDescent="0.25">
      <c r="A16" t="s">
        <v>564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t="s">
        <v>565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25">
      <c r="A18" t="s">
        <v>566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25">
      <c r="A19" t="s">
        <v>567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25">
      <c r="A20" t="s">
        <v>568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3" spans="1:8" x14ac:dyDescent="0.25">
      <c r="A23" s="19"/>
      <c r="D23" s="40" t="s">
        <v>557</v>
      </c>
      <c r="E23" s="40"/>
    </row>
    <row r="24" spans="1:8" x14ac:dyDescent="0.25">
      <c r="A24" s="20" t="s">
        <v>553</v>
      </c>
      <c r="B24" s="25" t="s">
        <v>542</v>
      </c>
      <c r="C24" s="25" t="s">
        <v>543</v>
      </c>
      <c r="D24" s="25" t="s">
        <v>544</v>
      </c>
      <c r="E24" s="25" t="s">
        <v>545</v>
      </c>
      <c r="F24" s="25" t="s">
        <v>546</v>
      </c>
      <c r="G24" s="25" t="s">
        <v>547</v>
      </c>
      <c r="H24" s="20" t="s">
        <v>548</v>
      </c>
    </row>
    <row r="25" spans="1:8" x14ac:dyDescent="0.25">
      <c r="A25" t="s">
        <v>554</v>
      </c>
      <c r="B25">
        <v>67</v>
      </c>
      <c r="C25">
        <v>15</v>
      </c>
      <c r="D25">
        <v>13</v>
      </c>
      <c r="E25">
        <v>0</v>
      </c>
      <c r="F25">
        <v>1</v>
      </c>
      <c r="G25">
        <v>0</v>
      </c>
      <c r="H25">
        <v>0</v>
      </c>
    </row>
    <row r="26" spans="1:8" x14ac:dyDescent="0.25">
      <c r="A26" t="s">
        <v>555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5">
      <c r="A27" t="s">
        <v>556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25">
      <c r="A28" t="s">
        <v>564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5">
      <c r="A29" t="s">
        <v>565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25">
      <c r="A30" t="s">
        <v>566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25">
      <c r="A31" t="s">
        <v>567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25">
      <c r="A32" t="s">
        <v>568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5" spans="1:8" x14ac:dyDescent="0.25">
      <c r="A35" s="19"/>
      <c r="D35" s="40" t="s">
        <v>558</v>
      </c>
      <c r="E35" s="40"/>
    </row>
    <row r="36" spans="1:8" x14ac:dyDescent="0.25">
      <c r="A36" s="22" t="s">
        <v>553</v>
      </c>
      <c r="B36" s="26" t="s">
        <v>542</v>
      </c>
      <c r="C36" s="26" t="s">
        <v>543</v>
      </c>
      <c r="D36" s="26" t="s">
        <v>544</v>
      </c>
      <c r="E36" s="26" t="s">
        <v>545</v>
      </c>
      <c r="F36" s="26" t="s">
        <v>546</v>
      </c>
      <c r="G36" s="26" t="s">
        <v>547</v>
      </c>
      <c r="H36" s="22" t="s">
        <v>548</v>
      </c>
    </row>
    <row r="37" spans="1:8" x14ac:dyDescent="0.25">
      <c r="A37" t="s">
        <v>554</v>
      </c>
      <c r="B37">
        <v>26</v>
      </c>
      <c r="C37">
        <v>17</v>
      </c>
      <c r="D37">
        <v>2</v>
      </c>
      <c r="E37">
        <v>5</v>
      </c>
      <c r="F37">
        <v>0</v>
      </c>
      <c r="G37">
        <v>0</v>
      </c>
      <c r="H37">
        <v>0</v>
      </c>
    </row>
    <row r="38" spans="1:8" x14ac:dyDescent="0.25">
      <c r="A38" t="s">
        <v>555</v>
      </c>
      <c r="B38">
        <v>5</v>
      </c>
      <c r="C38">
        <v>5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25">
      <c r="A39" t="s">
        <v>556</v>
      </c>
      <c r="B39">
        <v>3</v>
      </c>
      <c r="C39">
        <v>3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25">
      <c r="A40" t="s">
        <v>564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25">
      <c r="A41" t="s">
        <v>565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5">
      <c r="A42" t="s">
        <v>566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25">
      <c r="A43" t="s">
        <v>567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5">
      <c r="A44" t="s">
        <v>568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7" spans="1:8" x14ac:dyDescent="0.25">
      <c r="A47" s="19"/>
      <c r="D47" s="40" t="s">
        <v>563</v>
      </c>
      <c r="E47" s="40"/>
    </row>
    <row r="48" spans="1:8" x14ac:dyDescent="0.25">
      <c r="A48" s="34" t="s">
        <v>553</v>
      </c>
      <c r="B48" s="35" t="s">
        <v>542</v>
      </c>
      <c r="C48" s="35" t="s">
        <v>543</v>
      </c>
      <c r="D48" s="35" t="s">
        <v>544</v>
      </c>
      <c r="E48" s="35" t="s">
        <v>545</v>
      </c>
      <c r="F48" s="35" t="s">
        <v>546</v>
      </c>
      <c r="G48" s="35" t="s">
        <v>547</v>
      </c>
      <c r="H48" s="34" t="s">
        <v>548</v>
      </c>
    </row>
    <row r="49" spans="1:8" x14ac:dyDescent="0.25">
      <c r="A49" t="s">
        <v>554</v>
      </c>
      <c r="B49">
        <v>7</v>
      </c>
      <c r="C49">
        <v>5</v>
      </c>
      <c r="D49">
        <v>1</v>
      </c>
      <c r="E49">
        <v>1</v>
      </c>
      <c r="F49">
        <v>2</v>
      </c>
      <c r="G49">
        <v>0</v>
      </c>
      <c r="H49">
        <v>0</v>
      </c>
    </row>
    <row r="50" spans="1:8" x14ac:dyDescent="0.25">
      <c r="A50" t="s">
        <v>555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25">
      <c r="A51" t="s">
        <v>556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25">
      <c r="A52" t="s">
        <v>564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25">
      <c r="A53" t="s">
        <v>565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25">
      <c r="A54" t="s">
        <v>566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5">
      <c r="A55" t="s">
        <v>567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25">
      <c r="A56" t="s">
        <v>568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9" spans="1:8" x14ac:dyDescent="0.25">
      <c r="A59" s="19"/>
      <c r="D59" s="40" t="s">
        <v>561</v>
      </c>
      <c r="E59" s="40"/>
    </row>
    <row r="60" spans="1:8" x14ac:dyDescent="0.25">
      <c r="A60" s="36" t="s">
        <v>553</v>
      </c>
      <c r="B60" s="37" t="s">
        <v>542</v>
      </c>
      <c r="C60" s="37" t="s">
        <v>543</v>
      </c>
      <c r="D60" s="37" t="s">
        <v>544</v>
      </c>
      <c r="E60" s="37" t="s">
        <v>545</v>
      </c>
      <c r="F60" s="37" t="s">
        <v>546</v>
      </c>
      <c r="G60" s="37" t="s">
        <v>547</v>
      </c>
      <c r="H60" s="36" t="s">
        <v>548</v>
      </c>
    </row>
    <row r="61" spans="1:8" x14ac:dyDescent="0.25">
      <c r="A61" t="s">
        <v>554</v>
      </c>
      <c r="B61">
        <v>3</v>
      </c>
      <c r="C61">
        <v>2</v>
      </c>
      <c r="D61">
        <v>0</v>
      </c>
      <c r="E61">
        <v>1</v>
      </c>
      <c r="F61">
        <v>0</v>
      </c>
      <c r="G61">
        <v>0</v>
      </c>
      <c r="H61">
        <v>0</v>
      </c>
    </row>
    <row r="62" spans="1:8" x14ac:dyDescent="0.25">
      <c r="A62" t="s">
        <v>555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5">
      <c r="A63" t="s">
        <v>556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25">
      <c r="A64" t="s">
        <v>564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25">
      <c r="A65" t="s">
        <v>565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25">
      <c r="A66" t="s">
        <v>566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25">
      <c r="A67" t="s">
        <v>567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5">
      <c r="A68" t="s">
        <v>568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</sheetData>
  <mergeCells count="5">
    <mergeCell ref="D11:E11"/>
    <mergeCell ref="D23:E23"/>
    <mergeCell ref="D35:E35"/>
    <mergeCell ref="D47:E47"/>
    <mergeCell ref="D59:E5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32"/>
  <sheetViews>
    <sheetView topLeftCell="O416" workbookViewId="0">
      <selection activeCell="AC432" sqref="AC432"/>
    </sheetView>
  </sheetViews>
  <sheetFormatPr defaultRowHeight="15" x14ac:dyDescent="0.25"/>
  <cols>
    <col min="1" max="1" width="11.28515625" customWidth="1"/>
    <col min="2" max="2" width="9.140625" customWidth="1"/>
    <col min="3" max="3" width="7.28515625" customWidth="1"/>
    <col min="4" max="4" width="19" customWidth="1"/>
    <col min="5" max="5" width="6.85546875" customWidth="1"/>
    <col min="6" max="6" width="25.7109375" bestFit="1" customWidth="1"/>
    <col min="7" max="7" width="26.140625" bestFit="1" customWidth="1"/>
    <col min="8" max="8" width="4.42578125" customWidth="1"/>
    <col min="9" max="9" width="12" customWidth="1"/>
    <col min="10" max="10" width="8.42578125" customWidth="1"/>
    <col min="11" max="11" width="5.42578125" customWidth="1"/>
    <col min="12" max="12" width="9.5703125" customWidth="1"/>
    <col min="13" max="13" width="10" customWidth="1"/>
    <col min="14" max="15" width="10.140625" customWidth="1"/>
    <col min="16" max="16" width="33.5703125" customWidth="1"/>
    <col min="17" max="17" width="7" customWidth="1"/>
    <col min="18" max="18" width="12.42578125" customWidth="1"/>
    <col min="19" max="19" width="13.5703125" customWidth="1"/>
    <col min="20" max="20" width="7" customWidth="1"/>
    <col min="21" max="21" width="9.140625" customWidth="1"/>
    <col min="22" max="22" width="12.85546875" customWidth="1"/>
    <col min="23" max="23" width="8.85546875" customWidth="1"/>
    <col min="24" max="24" width="9.28515625" customWidth="1"/>
    <col min="25" max="25" width="8.7109375" customWidth="1"/>
    <col min="26" max="26" width="6.140625" customWidth="1"/>
    <col min="27" max="27" width="8.42578125" customWidth="1"/>
    <col min="28" max="28" width="13.85546875" bestFit="1" customWidth="1"/>
    <col min="30" max="30" width="19.42578125" bestFit="1" customWidth="1"/>
    <col min="31" max="31" width="24.5703125" bestFit="1" customWidth="1"/>
    <col min="32" max="32" width="12.42578125" bestFit="1" customWidth="1"/>
    <col min="33" max="33" width="12.28515625" bestFit="1" customWidth="1"/>
    <col min="34" max="34" width="13.28515625" bestFit="1" customWidth="1"/>
    <col min="35" max="35" width="14.85546875" bestFit="1" customWidth="1"/>
    <col min="36" max="36" width="13.7109375" bestFit="1" customWidth="1"/>
    <col min="37" max="37" width="19.28515625" bestFit="1" customWidth="1"/>
    <col min="38" max="38" width="22.42578125" bestFit="1" customWidth="1"/>
    <col min="39" max="39" width="16.42578125" bestFit="1" customWidth="1"/>
    <col min="40" max="40" width="24.28515625" bestFit="1" customWidth="1"/>
    <col min="41" max="41" width="23.85546875" bestFit="1" customWidth="1"/>
    <col min="42" max="42" width="25.140625" bestFit="1" customWidth="1"/>
    <col min="43" max="43" width="12.28515625" bestFit="1" customWidth="1"/>
    <col min="44" max="44" width="11.42578125" bestFit="1" customWidth="1"/>
    <col min="45" max="45" width="18.28515625" bestFit="1" customWidth="1"/>
    <col min="46" max="46" width="21.5703125" bestFit="1" customWidth="1"/>
    <col min="47" max="47" width="23" bestFit="1" customWidth="1"/>
    <col min="48" max="48" width="17" bestFit="1" customWidth="1"/>
    <col min="49" max="49" width="12.140625" bestFit="1" customWidth="1"/>
    <col min="50" max="50" width="14" bestFit="1" customWidth="1"/>
    <col min="51" max="51" width="13.28515625" bestFit="1" customWidth="1"/>
    <col min="52" max="52" width="19.140625" bestFit="1" customWidth="1"/>
    <col min="53" max="53" width="18.28515625" bestFit="1" customWidth="1"/>
    <col min="54" max="54" width="9.140625" bestFit="1" customWidth="1"/>
    <col min="55" max="55" width="9.5703125" bestFit="1" customWidth="1"/>
    <col min="56" max="56" width="13.28515625" bestFit="1" customWidth="1"/>
    <col min="57" max="57" width="16.28515625" bestFit="1" customWidth="1"/>
    <col min="58" max="58" width="19.85546875" bestFit="1" customWidth="1"/>
    <col min="59" max="59" width="20" bestFit="1" customWidth="1"/>
    <col min="60" max="60" width="13.7109375" bestFit="1" customWidth="1"/>
    <col min="61" max="61" width="8.5703125" bestFit="1" customWidth="1"/>
    <col min="62" max="62" width="10.140625" bestFit="1" customWidth="1"/>
    <col min="63" max="63" width="7.7109375" bestFit="1" customWidth="1"/>
    <col min="64" max="64" width="12.5703125" bestFit="1" customWidth="1"/>
    <col min="65" max="65" width="13.7109375" bestFit="1" customWidth="1"/>
    <col min="66" max="66" width="14.7109375" bestFit="1" customWidth="1"/>
    <col min="67" max="67" width="16.28515625" bestFit="1" customWidth="1"/>
    <col min="68" max="68" width="23.7109375" bestFit="1" customWidth="1"/>
    <col min="69" max="69" width="12.140625" bestFit="1" customWidth="1"/>
    <col min="70" max="70" width="13.85546875" bestFit="1" customWidth="1"/>
    <col min="71" max="71" width="11.28515625" bestFit="1" customWidth="1"/>
    <col min="72" max="72" width="17.5703125" bestFit="1" customWidth="1"/>
    <col min="73" max="73" width="12" bestFit="1" customWidth="1"/>
    <col min="74" max="74" width="16" bestFit="1" customWidth="1"/>
    <col min="75" max="75" width="17.42578125" bestFit="1" customWidth="1"/>
    <col min="76" max="77" width="14" bestFit="1" customWidth="1"/>
    <col min="78" max="78" width="14.140625" bestFit="1" customWidth="1"/>
    <col min="79" max="79" width="14.85546875" bestFit="1" customWidth="1"/>
    <col min="80" max="80" width="30.28515625" bestFit="1" customWidth="1"/>
    <col min="81" max="81" width="33.5703125" bestFit="1" customWidth="1"/>
    <col min="82" max="82" width="32.7109375" bestFit="1" customWidth="1"/>
    <col min="83" max="83" width="19.7109375" bestFit="1" customWidth="1"/>
    <col min="84" max="84" width="15.140625" bestFit="1" customWidth="1"/>
    <col min="85" max="85" width="13.140625" bestFit="1" customWidth="1"/>
    <col min="86" max="86" width="13.5703125" bestFit="1" customWidth="1"/>
    <col min="87" max="87" width="26" bestFit="1" customWidth="1"/>
    <col min="88" max="88" width="21.85546875" bestFit="1" customWidth="1"/>
    <col min="89" max="89" width="22.28515625" bestFit="1" customWidth="1"/>
    <col min="90" max="90" width="30.5703125" bestFit="1" customWidth="1"/>
    <col min="91" max="91" width="30.7109375" bestFit="1" customWidth="1"/>
    <col min="92" max="92" width="16.7109375" bestFit="1" customWidth="1"/>
    <col min="93" max="93" width="14.28515625" bestFit="1" customWidth="1"/>
    <col min="94" max="94" width="14.42578125" bestFit="1" customWidth="1"/>
    <col min="95" max="95" width="17.28515625" bestFit="1" customWidth="1"/>
    <col min="96" max="96" width="23.7109375" bestFit="1" customWidth="1"/>
    <col min="97" max="97" width="16.5703125" bestFit="1" customWidth="1"/>
    <col min="98" max="98" width="16.7109375" bestFit="1" customWidth="1"/>
    <col min="99" max="99" width="8.85546875" bestFit="1" customWidth="1"/>
    <col min="100" max="100" width="31.140625" bestFit="1" customWidth="1"/>
    <col min="101" max="101" width="34.42578125" bestFit="1" customWidth="1"/>
    <col min="102" max="102" width="37" bestFit="1" customWidth="1"/>
    <col min="103" max="103" width="23" bestFit="1" customWidth="1"/>
    <col min="104" max="104" width="24" bestFit="1" customWidth="1"/>
    <col min="105" max="105" width="20.42578125" bestFit="1" customWidth="1"/>
    <col min="106" max="106" width="22.140625" bestFit="1" customWidth="1"/>
    <col min="107" max="107" width="20" bestFit="1" customWidth="1"/>
    <col min="108" max="108" width="29.42578125" bestFit="1" customWidth="1"/>
    <col min="109" max="109" width="22" bestFit="1" customWidth="1"/>
    <col min="110" max="110" width="19.140625" bestFit="1" customWidth="1"/>
    <col min="111" max="111" width="26.42578125" bestFit="1" customWidth="1"/>
  </cols>
  <sheetData>
    <row r="1" spans="1:29" x14ac:dyDescent="0.25">
      <c r="A1" s="1" t="s">
        <v>9</v>
      </c>
      <c r="B1" s="2" t="s">
        <v>8</v>
      </c>
      <c r="C1" s="2" t="s">
        <v>11</v>
      </c>
      <c r="D1" s="2" t="s">
        <v>31</v>
      </c>
      <c r="E1" s="2" t="s">
        <v>20</v>
      </c>
      <c r="F1" s="2" t="s">
        <v>10</v>
      </c>
      <c r="G1" s="2" t="s">
        <v>119</v>
      </c>
      <c r="H1" s="2" t="s">
        <v>90</v>
      </c>
      <c r="I1" s="2" t="s">
        <v>91</v>
      </c>
      <c r="J1" s="2" t="s">
        <v>92</v>
      </c>
      <c r="K1" s="2" t="s">
        <v>93</v>
      </c>
      <c r="L1" s="2" t="s">
        <v>89</v>
      </c>
      <c r="M1" s="2" t="s">
        <v>196</v>
      </c>
      <c r="N1" s="2" t="s">
        <v>12</v>
      </c>
      <c r="O1" s="5" t="s">
        <v>190</v>
      </c>
      <c r="P1" s="2" t="s">
        <v>97</v>
      </c>
      <c r="Q1" s="3" t="s">
        <v>0</v>
      </c>
      <c r="R1" s="3" t="s">
        <v>1</v>
      </c>
      <c r="S1" s="3" t="s">
        <v>2</v>
      </c>
      <c r="T1" s="3" t="s">
        <v>3</v>
      </c>
      <c r="U1" s="3" t="s">
        <v>4</v>
      </c>
      <c r="V1" s="3" t="s">
        <v>5</v>
      </c>
      <c r="W1" s="3" t="s">
        <v>6</v>
      </c>
      <c r="X1" s="3" t="s">
        <v>96</v>
      </c>
      <c r="Y1" s="3" t="s">
        <v>94</v>
      </c>
      <c r="Z1" s="3" t="s">
        <v>95</v>
      </c>
      <c r="AA1" s="4" t="s">
        <v>7</v>
      </c>
      <c r="AB1" s="5" t="s">
        <v>143</v>
      </c>
    </row>
    <row r="2" spans="1:29" x14ac:dyDescent="0.25">
      <c r="A2" s="27" t="s">
        <v>212</v>
      </c>
      <c r="B2" s="27" t="s">
        <v>14</v>
      </c>
      <c r="C2" s="27" t="s">
        <v>13</v>
      </c>
      <c r="D2" s="27" t="s">
        <v>499</v>
      </c>
      <c r="E2" s="27" t="s">
        <v>21</v>
      </c>
      <c r="F2" s="27" t="s">
        <v>505</v>
      </c>
      <c r="G2" s="27" t="s">
        <v>507</v>
      </c>
      <c r="H2" s="27" t="s">
        <v>513</v>
      </c>
      <c r="I2" s="27" t="s">
        <v>516</v>
      </c>
      <c r="J2" s="27" t="s">
        <v>516</v>
      </c>
      <c r="K2" s="27" t="s">
        <v>529</v>
      </c>
      <c r="L2" s="27" t="s">
        <v>539</v>
      </c>
      <c r="M2" s="30">
        <v>41855</v>
      </c>
      <c r="N2" s="30"/>
      <c r="O2" s="30"/>
      <c r="P2" s="27" t="s">
        <v>101</v>
      </c>
      <c r="Q2" s="32">
        <v>1</v>
      </c>
      <c r="R2" s="32">
        <v>4.1008217592592597</v>
      </c>
      <c r="S2" s="32">
        <v>4.1008217592592597</v>
      </c>
      <c r="T2" s="32">
        <v>0</v>
      </c>
      <c r="U2" s="32">
        <v>1</v>
      </c>
      <c r="V2" s="32">
        <v>1.3312152777777799</v>
      </c>
      <c r="W2" s="32">
        <v>56</v>
      </c>
      <c r="X2" s="32">
        <v>1</v>
      </c>
      <c r="Y2" s="32">
        <v>1</v>
      </c>
      <c r="Z2" s="32">
        <v>0</v>
      </c>
      <c r="AA2" s="32">
        <v>1</v>
      </c>
      <c r="AC2" s="29"/>
    </row>
    <row r="3" spans="1:29" x14ac:dyDescent="0.25">
      <c r="A3" s="28" t="s">
        <v>213</v>
      </c>
      <c r="B3" s="28" t="s">
        <v>14</v>
      </c>
      <c r="C3" s="28" t="s">
        <v>17</v>
      </c>
      <c r="D3" s="28" t="s">
        <v>499</v>
      </c>
      <c r="E3" s="28" t="s">
        <v>21</v>
      </c>
      <c r="F3" s="28" t="s">
        <v>506</v>
      </c>
      <c r="G3" s="28" t="s">
        <v>508</v>
      </c>
      <c r="H3" s="28" t="s">
        <v>513</v>
      </c>
      <c r="I3" s="28" t="s">
        <v>517</v>
      </c>
      <c r="J3" s="28" t="s">
        <v>516</v>
      </c>
      <c r="K3" s="28" t="s">
        <v>529</v>
      </c>
      <c r="L3" s="28" t="s">
        <v>539</v>
      </c>
      <c r="M3" s="31">
        <v>41856</v>
      </c>
      <c r="N3" s="31">
        <v>41856</v>
      </c>
      <c r="O3" s="31">
        <v>41856</v>
      </c>
      <c r="P3" s="28" t="s">
        <v>101</v>
      </c>
      <c r="Q3" s="33">
        <v>1</v>
      </c>
      <c r="R3" s="33">
        <v>4.3368055555555597E-2</v>
      </c>
      <c r="S3" s="33">
        <v>4.3368055555555597E-2</v>
      </c>
      <c r="T3" s="33">
        <v>0</v>
      </c>
      <c r="U3" s="33">
        <v>1</v>
      </c>
      <c r="V3" s="33">
        <v>1.7986111111111099E-2</v>
      </c>
      <c r="W3" s="33">
        <v>3</v>
      </c>
      <c r="X3" s="33">
        <v>8</v>
      </c>
      <c r="Y3" s="33">
        <v>8</v>
      </c>
      <c r="Z3" s="33">
        <v>0</v>
      </c>
      <c r="AA3" s="33">
        <v>1</v>
      </c>
      <c r="AC3" s="29"/>
    </row>
    <row r="4" spans="1:29" x14ac:dyDescent="0.25">
      <c r="A4" s="27" t="s">
        <v>214</v>
      </c>
      <c r="B4" s="27" t="s">
        <v>14</v>
      </c>
      <c r="C4" s="27" t="s">
        <v>15</v>
      </c>
      <c r="D4" s="27" t="s">
        <v>154</v>
      </c>
      <c r="E4" s="27" t="s">
        <v>21</v>
      </c>
      <c r="F4" s="27" t="s">
        <v>505</v>
      </c>
      <c r="G4" s="27" t="s">
        <v>507</v>
      </c>
      <c r="H4" s="27" t="s">
        <v>513</v>
      </c>
      <c r="I4" s="27" t="s">
        <v>516</v>
      </c>
      <c r="J4" s="27" t="s">
        <v>516</v>
      </c>
      <c r="K4" s="27" t="s">
        <v>529</v>
      </c>
      <c r="L4" s="27" t="s">
        <v>539</v>
      </c>
      <c r="M4" s="30">
        <v>41872</v>
      </c>
      <c r="N4" s="30"/>
      <c r="O4" s="30"/>
      <c r="P4" s="27" t="s">
        <v>115</v>
      </c>
      <c r="Q4" s="32">
        <v>1</v>
      </c>
      <c r="R4" s="32">
        <v>18.148923611111101</v>
      </c>
      <c r="S4" s="32">
        <v>18.148923611111101</v>
      </c>
      <c r="T4" s="32">
        <v>0</v>
      </c>
      <c r="U4" s="32">
        <v>1</v>
      </c>
      <c r="V4" s="32">
        <v>5.33864583333333</v>
      </c>
      <c r="W4" s="32">
        <v>140</v>
      </c>
      <c r="X4" s="32">
        <v>3.25</v>
      </c>
      <c r="Y4" s="32">
        <v>3.25</v>
      </c>
      <c r="Z4" s="32">
        <v>0</v>
      </c>
      <c r="AA4" s="32">
        <v>1</v>
      </c>
      <c r="AC4" s="29"/>
    </row>
    <row r="5" spans="1:29" x14ac:dyDescent="0.25">
      <c r="A5" s="28" t="s">
        <v>215</v>
      </c>
      <c r="B5" s="28" t="s">
        <v>14</v>
      </c>
      <c r="C5" s="28" t="s">
        <v>15</v>
      </c>
      <c r="D5" s="28" t="s">
        <v>154</v>
      </c>
      <c r="E5" s="28" t="s">
        <v>21</v>
      </c>
      <c r="F5" s="28" t="s">
        <v>505</v>
      </c>
      <c r="G5" s="28" t="s">
        <v>507</v>
      </c>
      <c r="H5" s="28" t="s">
        <v>513</v>
      </c>
      <c r="I5" s="28" t="s">
        <v>516</v>
      </c>
      <c r="J5" s="28" t="s">
        <v>516</v>
      </c>
      <c r="K5" s="28" t="s">
        <v>529</v>
      </c>
      <c r="L5" s="28" t="s">
        <v>539</v>
      </c>
      <c r="M5" s="31">
        <v>41872</v>
      </c>
      <c r="N5" s="31"/>
      <c r="O5" s="31"/>
      <c r="P5" s="28" t="s">
        <v>101</v>
      </c>
      <c r="Q5" s="33">
        <v>1</v>
      </c>
      <c r="R5" s="33">
        <v>26.090347222222199</v>
      </c>
      <c r="S5" s="33">
        <v>26.090347222222199</v>
      </c>
      <c r="T5" s="33">
        <v>0</v>
      </c>
      <c r="U5" s="33">
        <v>1</v>
      </c>
      <c r="V5" s="33">
        <v>21.326226851851899</v>
      </c>
      <c r="W5" s="33">
        <v>140</v>
      </c>
      <c r="X5" s="33">
        <v>2</v>
      </c>
      <c r="Y5" s="33">
        <v>2</v>
      </c>
      <c r="Z5" s="33">
        <v>0</v>
      </c>
      <c r="AA5" s="33">
        <v>1</v>
      </c>
      <c r="AC5" s="29"/>
    </row>
    <row r="6" spans="1:29" x14ac:dyDescent="0.25">
      <c r="A6" s="27" t="s">
        <v>216</v>
      </c>
      <c r="B6" s="27" t="s">
        <v>14</v>
      </c>
      <c r="C6" s="27" t="s">
        <v>15</v>
      </c>
      <c r="D6" s="27" t="s">
        <v>154</v>
      </c>
      <c r="E6" s="27" t="s">
        <v>21</v>
      </c>
      <c r="F6" s="27" t="s">
        <v>505</v>
      </c>
      <c r="G6" s="27" t="s">
        <v>509</v>
      </c>
      <c r="H6" s="27" t="s">
        <v>513</v>
      </c>
      <c r="I6" s="27" t="s">
        <v>516</v>
      </c>
      <c r="J6" s="27" t="s">
        <v>516</v>
      </c>
      <c r="K6" s="27" t="s">
        <v>529</v>
      </c>
      <c r="L6" s="27" t="s">
        <v>539</v>
      </c>
      <c r="M6" s="30">
        <v>41872</v>
      </c>
      <c r="N6" s="30"/>
      <c r="O6" s="30"/>
      <c r="P6" s="27" t="s">
        <v>104</v>
      </c>
      <c r="Q6" s="32">
        <v>1</v>
      </c>
      <c r="R6" s="32">
        <v>5.0590162037036999</v>
      </c>
      <c r="S6" s="32">
        <v>5.0590162037036999</v>
      </c>
      <c r="T6" s="32">
        <v>0</v>
      </c>
      <c r="U6" s="32">
        <v>1</v>
      </c>
      <c r="V6" s="32">
        <v>5.0578819444444401</v>
      </c>
      <c r="W6" s="32">
        <v>140</v>
      </c>
      <c r="X6" s="32">
        <v>20.25</v>
      </c>
      <c r="Y6" s="32">
        <v>20.25</v>
      </c>
      <c r="Z6" s="32">
        <v>0</v>
      </c>
      <c r="AA6" s="32">
        <v>1</v>
      </c>
      <c r="AC6" s="29"/>
    </row>
    <row r="7" spans="1:29" x14ac:dyDescent="0.25">
      <c r="A7" s="28" t="s">
        <v>217</v>
      </c>
      <c r="B7" s="28" t="s">
        <v>19</v>
      </c>
      <c r="C7" s="28" t="s">
        <v>16</v>
      </c>
      <c r="D7" s="28" t="s">
        <v>500</v>
      </c>
      <c r="E7" s="28" t="s">
        <v>21</v>
      </c>
      <c r="F7" s="28" t="s">
        <v>505</v>
      </c>
      <c r="G7" s="28" t="s">
        <v>507</v>
      </c>
      <c r="H7" s="28" t="s">
        <v>513</v>
      </c>
      <c r="I7" s="28" t="s">
        <v>517</v>
      </c>
      <c r="J7" s="28" t="s">
        <v>519</v>
      </c>
      <c r="K7" s="28" t="s">
        <v>529</v>
      </c>
      <c r="L7" s="28" t="s">
        <v>539</v>
      </c>
      <c r="M7" s="31">
        <v>41879</v>
      </c>
      <c r="N7" s="31">
        <v>41884</v>
      </c>
      <c r="O7" s="31">
        <v>41886</v>
      </c>
      <c r="P7" s="28" t="s">
        <v>110</v>
      </c>
      <c r="Q7" s="33">
        <v>1</v>
      </c>
      <c r="R7" s="33">
        <v>26.813009259259299</v>
      </c>
      <c r="S7" s="33">
        <v>26.813009259259299</v>
      </c>
      <c r="T7" s="33">
        <v>1</v>
      </c>
      <c r="U7" s="33">
        <v>1</v>
      </c>
      <c r="V7" s="33">
        <v>24.999224537037001</v>
      </c>
      <c r="W7" s="33">
        <v>28</v>
      </c>
      <c r="X7" s="33">
        <v>20.75</v>
      </c>
      <c r="Y7" s="33">
        <v>0.75</v>
      </c>
      <c r="Z7" s="33">
        <v>20</v>
      </c>
      <c r="AA7" s="33">
        <v>1</v>
      </c>
      <c r="AC7" s="29"/>
    </row>
    <row r="8" spans="1:29" x14ac:dyDescent="0.25">
      <c r="A8" s="27" t="s">
        <v>218</v>
      </c>
      <c r="B8" s="27" t="s">
        <v>498</v>
      </c>
      <c r="C8" s="27" t="s">
        <v>15</v>
      </c>
      <c r="D8" s="27" t="s">
        <v>154</v>
      </c>
      <c r="E8" s="27" t="s">
        <v>21</v>
      </c>
      <c r="F8" s="27" t="s">
        <v>505</v>
      </c>
      <c r="G8" s="27" t="s">
        <v>507</v>
      </c>
      <c r="H8" s="27" t="s">
        <v>513</v>
      </c>
      <c r="I8" s="27" t="s">
        <v>516</v>
      </c>
      <c r="J8" s="27" t="s">
        <v>516</v>
      </c>
      <c r="K8" s="27" t="s">
        <v>529</v>
      </c>
      <c r="L8" s="27" t="s">
        <v>539</v>
      </c>
      <c r="M8" s="30">
        <v>41897</v>
      </c>
      <c r="N8" s="30"/>
      <c r="O8" s="30"/>
      <c r="P8" s="27" t="s">
        <v>110</v>
      </c>
      <c r="Q8" s="32">
        <v>1</v>
      </c>
      <c r="R8" s="32">
        <v>34.783657407407397</v>
      </c>
      <c r="S8" s="32">
        <v>34.783657407407397</v>
      </c>
      <c r="T8" s="32">
        <v>0</v>
      </c>
      <c r="U8" s="32">
        <v>1</v>
      </c>
      <c r="V8" s="32">
        <v>31.983958333333302</v>
      </c>
      <c r="W8" s="32">
        <v>140</v>
      </c>
      <c r="X8" s="32">
        <v>2.5</v>
      </c>
      <c r="Y8" s="32">
        <v>2.5</v>
      </c>
      <c r="Z8" s="32">
        <v>0</v>
      </c>
      <c r="AA8" s="32">
        <v>1</v>
      </c>
      <c r="AC8" s="29"/>
    </row>
    <row r="9" spans="1:29" x14ac:dyDescent="0.25">
      <c r="A9" s="28" t="s">
        <v>219</v>
      </c>
      <c r="B9" s="28" t="s">
        <v>14</v>
      </c>
      <c r="C9" s="28" t="s">
        <v>13</v>
      </c>
      <c r="D9" s="28" t="s">
        <v>154</v>
      </c>
      <c r="E9" s="28" t="s">
        <v>21</v>
      </c>
      <c r="F9" s="28" t="s">
        <v>505</v>
      </c>
      <c r="G9" s="28" t="s">
        <v>509</v>
      </c>
      <c r="H9" s="28" t="s">
        <v>513</v>
      </c>
      <c r="I9" s="28" t="s">
        <v>516</v>
      </c>
      <c r="J9" s="28" t="s">
        <v>516</v>
      </c>
      <c r="K9" s="28" t="s">
        <v>529</v>
      </c>
      <c r="L9" s="28" t="s">
        <v>539</v>
      </c>
      <c r="M9" s="31">
        <v>41900</v>
      </c>
      <c r="N9" s="31"/>
      <c r="O9" s="31"/>
      <c r="P9" s="28" t="s">
        <v>101</v>
      </c>
      <c r="Q9" s="33">
        <v>1</v>
      </c>
      <c r="R9" s="33">
        <v>49.262812500000003</v>
      </c>
      <c r="S9" s="33">
        <v>49.262812500000003</v>
      </c>
      <c r="T9" s="33">
        <v>0</v>
      </c>
      <c r="U9" s="33">
        <v>1</v>
      </c>
      <c r="V9" s="33">
        <v>11.096446759259299</v>
      </c>
      <c r="W9" s="33">
        <v>56</v>
      </c>
      <c r="X9" s="33">
        <v>14.5</v>
      </c>
      <c r="Y9" s="33">
        <v>14.5</v>
      </c>
      <c r="Z9" s="33">
        <v>0</v>
      </c>
      <c r="AA9" s="33">
        <v>1</v>
      </c>
      <c r="AC9" s="29"/>
    </row>
    <row r="10" spans="1:29" x14ac:dyDescent="0.25">
      <c r="A10" s="27" t="s">
        <v>220</v>
      </c>
      <c r="B10" s="27" t="s">
        <v>19</v>
      </c>
      <c r="C10" s="27" t="s">
        <v>15</v>
      </c>
      <c r="D10" s="27" t="s">
        <v>154</v>
      </c>
      <c r="E10" s="27" t="s">
        <v>21</v>
      </c>
      <c r="F10" s="27" t="s">
        <v>506</v>
      </c>
      <c r="G10" s="27" t="s">
        <v>510</v>
      </c>
      <c r="H10" s="27" t="s">
        <v>513</v>
      </c>
      <c r="I10" s="27" t="s">
        <v>517</v>
      </c>
      <c r="J10" s="27" t="s">
        <v>520</v>
      </c>
      <c r="K10" s="27" t="s">
        <v>529</v>
      </c>
      <c r="L10" s="27" t="s">
        <v>539</v>
      </c>
      <c r="M10" s="30">
        <v>41906</v>
      </c>
      <c r="N10" s="30">
        <v>41923</v>
      </c>
      <c r="O10" s="30">
        <v>41925</v>
      </c>
      <c r="P10" s="27" t="s">
        <v>106</v>
      </c>
      <c r="Q10" s="32">
        <v>1</v>
      </c>
      <c r="R10" s="32">
        <v>13.434236111111099</v>
      </c>
      <c r="S10" s="32">
        <v>30.173993055555599</v>
      </c>
      <c r="T10" s="32">
        <v>1</v>
      </c>
      <c r="U10" s="32">
        <v>1</v>
      </c>
      <c r="V10" s="32">
        <v>13.4335416666667</v>
      </c>
      <c r="W10" s="32">
        <v>140</v>
      </c>
      <c r="X10" s="32">
        <v>9.5</v>
      </c>
      <c r="Y10" s="32">
        <v>1.5</v>
      </c>
      <c r="Z10" s="32">
        <v>8</v>
      </c>
      <c r="AA10" s="32">
        <v>1</v>
      </c>
      <c r="AC10" s="29"/>
    </row>
    <row r="11" spans="1:29" x14ac:dyDescent="0.25">
      <c r="A11" s="28" t="s">
        <v>221</v>
      </c>
      <c r="B11" s="28" t="s">
        <v>14</v>
      </c>
      <c r="C11" s="28" t="s">
        <v>13</v>
      </c>
      <c r="D11" s="28" t="s">
        <v>154</v>
      </c>
      <c r="E11" s="28" t="s">
        <v>21</v>
      </c>
      <c r="F11" s="28" t="s">
        <v>505</v>
      </c>
      <c r="G11" s="28" t="s">
        <v>507</v>
      </c>
      <c r="H11" s="28" t="s">
        <v>513</v>
      </c>
      <c r="I11" s="28" t="s">
        <v>516</v>
      </c>
      <c r="J11" s="28" t="s">
        <v>516</v>
      </c>
      <c r="K11" s="28" t="s">
        <v>529</v>
      </c>
      <c r="L11" s="28" t="s">
        <v>539</v>
      </c>
      <c r="M11" s="31">
        <v>41908</v>
      </c>
      <c r="N11" s="31"/>
      <c r="O11" s="31"/>
      <c r="P11" s="28" t="s">
        <v>104</v>
      </c>
      <c r="Q11" s="33">
        <v>1</v>
      </c>
      <c r="R11" s="33">
        <v>68.928634259259297</v>
      </c>
      <c r="S11" s="33">
        <v>68.928634259259297</v>
      </c>
      <c r="T11" s="33">
        <v>0</v>
      </c>
      <c r="U11" s="33">
        <v>1</v>
      </c>
      <c r="V11" s="33">
        <v>19.2076157407407</v>
      </c>
      <c r="W11" s="33">
        <v>56</v>
      </c>
      <c r="X11" s="33">
        <v>8</v>
      </c>
      <c r="Y11" s="33">
        <v>8</v>
      </c>
      <c r="Z11" s="33">
        <v>0</v>
      </c>
      <c r="AA11" s="33">
        <v>1</v>
      </c>
      <c r="AC11" s="29"/>
    </row>
    <row r="12" spans="1:29" x14ac:dyDescent="0.25">
      <c r="A12" s="27" t="s">
        <v>222</v>
      </c>
      <c r="B12" s="27" t="s">
        <v>14</v>
      </c>
      <c r="C12" s="27" t="s">
        <v>13</v>
      </c>
      <c r="D12" s="27" t="s">
        <v>154</v>
      </c>
      <c r="E12" s="27" t="s">
        <v>21</v>
      </c>
      <c r="F12" s="27" t="s">
        <v>506</v>
      </c>
      <c r="G12" s="27" t="s">
        <v>508</v>
      </c>
      <c r="H12" s="27" t="s">
        <v>513</v>
      </c>
      <c r="I12" s="27" t="s">
        <v>516</v>
      </c>
      <c r="J12" s="27" t="s">
        <v>516</v>
      </c>
      <c r="K12" s="27" t="s">
        <v>529</v>
      </c>
      <c r="L12" s="27" t="s">
        <v>539</v>
      </c>
      <c r="M12" s="30">
        <v>41908</v>
      </c>
      <c r="N12" s="30"/>
      <c r="O12" s="30"/>
      <c r="P12" s="27" t="s">
        <v>104</v>
      </c>
      <c r="Q12" s="32">
        <v>1</v>
      </c>
      <c r="R12" s="32">
        <v>68.925358796296294</v>
      </c>
      <c r="S12" s="32">
        <v>68.925358796296294</v>
      </c>
      <c r="T12" s="32">
        <v>0</v>
      </c>
      <c r="U12" s="32">
        <v>1</v>
      </c>
      <c r="V12" s="32">
        <v>19.203449074074101</v>
      </c>
      <c r="W12" s="32">
        <v>56</v>
      </c>
      <c r="X12" s="32">
        <v>4.75</v>
      </c>
      <c r="Y12" s="32">
        <v>4.75</v>
      </c>
      <c r="Z12" s="32">
        <v>0</v>
      </c>
      <c r="AA12" s="32">
        <v>1</v>
      </c>
      <c r="AC12" s="29"/>
    </row>
    <row r="13" spans="1:29" x14ac:dyDescent="0.25">
      <c r="A13" s="28" t="s">
        <v>223</v>
      </c>
      <c r="B13" s="28" t="s">
        <v>19</v>
      </c>
      <c r="C13" s="28" t="s">
        <v>13</v>
      </c>
      <c r="D13" s="28" t="s">
        <v>501</v>
      </c>
      <c r="E13" s="28" t="s">
        <v>22</v>
      </c>
      <c r="F13" s="28" t="s">
        <v>505</v>
      </c>
      <c r="G13" s="28" t="s">
        <v>509</v>
      </c>
      <c r="H13" s="28" t="s">
        <v>513</v>
      </c>
      <c r="I13" s="28" t="s">
        <v>517</v>
      </c>
      <c r="J13" s="28" t="s">
        <v>520</v>
      </c>
      <c r="K13" s="28" t="s">
        <v>529</v>
      </c>
      <c r="L13" s="28" t="s">
        <v>539</v>
      </c>
      <c r="M13" s="31">
        <v>41911</v>
      </c>
      <c r="N13" s="31">
        <v>41911</v>
      </c>
      <c r="O13" s="31">
        <v>41927</v>
      </c>
      <c r="P13" s="28" t="s">
        <v>115</v>
      </c>
      <c r="Q13" s="33">
        <v>1</v>
      </c>
      <c r="R13" s="33">
        <v>17.1016782407407</v>
      </c>
      <c r="S13" s="33">
        <v>17.1016782407407</v>
      </c>
      <c r="T13" s="33">
        <v>1</v>
      </c>
      <c r="U13" s="33">
        <v>1</v>
      </c>
      <c r="V13" s="33">
        <v>17.101041666666699</v>
      </c>
      <c r="W13" s="33">
        <v>40</v>
      </c>
      <c r="X13" s="33">
        <v>20.5</v>
      </c>
      <c r="Y13" s="33">
        <v>0.5</v>
      </c>
      <c r="Z13" s="33">
        <v>20</v>
      </c>
      <c r="AA13" s="33">
        <v>1</v>
      </c>
      <c r="AC13" s="29"/>
    </row>
    <row r="14" spans="1:29" x14ac:dyDescent="0.25">
      <c r="A14" s="27" t="s">
        <v>224</v>
      </c>
      <c r="B14" s="27" t="s">
        <v>18</v>
      </c>
      <c r="C14" s="27" t="s">
        <v>13</v>
      </c>
      <c r="D14" s="27" t="s">
        <v>154</v>
      </c>
      <c r="E14" s="27" t="s">
        <v>21</v>
      </c>
      <c r="F14" s="27" t="s">
        <v>506</v>
      </c>
      <c r="G14" s="27" t="s">
        <v>508</v>
      </c>
      <c r="H14" s="27" t="s">
        <v>513</v>
      </c>
      <c r="I14" s="27" t="s">
        <v>516</v>
      </c>
      <c r="J14" s="27" t="s">
        <v>516</v>
      </c>
      <c r="K14" s="27" t="s">
        <v>529</v>
      </c>
      <c r="L14" s="27" t="s">
        <v>539</v>
      </c>
      <c r="M14" s="30">
        <v>41913</v>
      </c>
      <c r="N14" s="30"/>
      <c r="O14" s="30"/>
      <c r="P14" s="27" t="s">
        <v>115</v>
      </c>
      <c r="Q14" s="32">
        <v>1</v>
      </c>
      <c r="R14" s="32">
        <v>61.325763888888901</v>
      </c>
      <c r="S14" s="32">
        <v>61.325763888888901</v>
      </c>
      <c r="T14" s="32">
        <v>0</v>
      </c>
      <c r="U14" s="32">
        <v>1</v>
      </c>
      <c r="V14" s="32">
        <v>42.237743055555597</v>
      </c>
      <c r="W14" s="32">
        <v>56</v>
      </c>
      <c r="X14" s="32">
        <v>42.25</v>
      </c>
      <c r="Y14" s="32">
        <v>42.25</v>
      </c>
      <c r="Z14" s="32">
        <v>0</v>
      </c>
      <c r="AA14" s="32">
        <v>1</v>
      </c>
      <c r="AC14" s="29"/>
    </row>
    <row r="15" spans="1:29" x14ac:dyDescent="0.25">
      <c r="A15" s="28" t="s">
        <v>225</v>
      </c>
      <c r="B15" s="28" t="s">
        <v>19</v>
      </c>
      <c r="C15" s="28" t="s">
        <v>13</v>
      </c>
      <c r="D15" s="28" t="s">
        <v>154</v>
      </c>
      <c r="E15" s="28" t="s">
        <v>21</v>
      </c>
      <c r="F15" s="28" t="s">
        <v>505</v>
      </c>
      <c r="G15" s="28" t="s">
        <v>507</v>
      </c>
      <c r="H15" s="28" t="s">
        <v>513</v>
      </c>
      <c r="I15" s="28" t="s">
        <v>517</v>
      </c>
      <c r="J15" s="28" t="s">
        <v>520</v>
      </c>
      <c r="K15" s="28" t="s">
        <v>529</v>
      </c>
      <c r="L15" s="28" t="s">
        <v>539</v>
      </c>
      <c r="M15" s="31">
        <v>41919</v>
      </c>
      <c r="N15" s="31">
        <v>41920</v>
      </c>
      <c r="O15" s="31">
        <v>41925</v>
      </c>
      <c r="P15" s="28" t="s">
        <v>114</v>
      </c>
      <c r="Q15" s="33">
        <v>1</v>
      </c>
      <c r="R15" s="33">
        <v>6.2068055555555599</v>
      </c>
      <c r="S15" s="33">
        <v>6.2068055555555599</v>
      </c>
      <c r="T15" s="33">
        <v>1</v>
      </c>
      <c r="U15" s="33">
        <v>1</v>
      </c>
      <c r="V15" s="33">
        <v>6.2054745370370403</v>
      </c>
      <c r="W15" s="33">
        <v>56</v>
      </c>
      <c r="X15" s="33">
        <v>8.75</v>
      </c>
      <c r="Y15" s="33">
        <v>0.75</v>
      </c>
      <c r="Z15" s="33">
        <v>8</v>
      </c>
      <c r="AA15" s="33">
        <v>1</v>
      </c>
      <c r="AC15" s="29"/>
    </row>
    <row r="16" spans="1:29" x14ac:dyDescent="0.25">
      <c r="A16" s="27" t="s">
        <v>226</v>
      </c>
      <c r="B16" s="27" t="s">
        <v>14</v>
      </c>
      <c r="C16" s="27" t="s">
        <v>13</v>
      </c>
      <c r="D16" s="27" t="s">
        <v>154</v>
      </c>
      <c r="E16" s="27" t="s">
        <v>21</v>
      </c>
      <c r="F16" s="27" t="s">
        <v>506</v>
      </c>
      <c r="G16" s="27" t="s">
        <v>508</v>
      </c>
      <c r="H16" s="27" t="s">
        <v>513</v>
      </c>
      <c r="I16" s="27" t="s">
        <v>517</v>
      </c>
      <c r="J16" s="27" t="s">
        <v>521</v>
      </c>
      <c r="K16" s="27" t="s">
        <v>529</v>
      </c>
      <c r="L16" s="27" t="s">
        <v>539</v>
      </c>
      <c r="M16" s="30">
        <v>41920</v>
      </c>
      <c r="N16" s="30">
        <v>41920</v>
      </c>
      <c r="O16" s="30">
        <v>41933</v>
      </c>
      <c r="P16" s="27" t="s">
        <v>98</v>
      </c>
      <c r="Q16" s="32">
        <v>1</v>
      </c>
      <c r="R16" s="32">
        <v>14.1230671296296</v>
      </c>
      <c r="S16" s="32">
        <v>14.1230671296296</v>
      </c>
      <c r="T16" s="32">
        <v>1</v>
      </c>
      <c r="U16" s="32">
        <v>1</v>
      </c>
      <c r="V16" s="32">
        <v>12.989537037037</v>
      </c>
      <c r="W16" s="32">
        <v>56</v>
      </c>
      <c r="X16" s="32">
        <v>25.75</v>
      </c>
      <c r="Y16" s="32">
        <v>5.75</v>
      </c>
      <c r="Z16" s="32">
        <v>20</v>
      </c>
      <c r="AA16" s="32">
        <v>1</v>
      </c>
      <c r="AC16" s="29"/>
    </row>
    <row r="17" spans="1:29" x14ac:dyDescent="0.25">
      <c r="A17" s="28" t="s">
        <v>227</v>
      </c>
      <c r="B17" s="28" t="s">
        <v>19</v>
      </c>
      <c r="C17" s="28" t="s">
        <v>16</v>
      </c>
      <c r="D17" s="28" t="s">
        <v>500</v>
      </c>
      <c r="E17" s="28" t="s">
        <v>21</v>
      </c>
      <c r="F17" s="28" t="s">
        <v>505</v>
      </c>
      <c r="G17" s="28" t="s">
        <v>507</v>
      </c>
      <c r="H17" s="28" t="s">
        <v>513</v>
      </c>
      <c r="I17" s="28" t="s">
        <v>517</v>
      </c>
      <c r="J17" s="28" t="s">
        <v>520</v>
      </c>
      <c r="K17" s="28" t="s">
        <v>529</v>
      </c>
      <c r="L17" s="28" t="s">
        <v>539</v>
      </c>
      <c r="M17" s="31">
        <v>41922</v>
      </c>
      <c r="N17" s="31">
        <v>41922</v>
      </c>
      <c r="O17" s="31">
        <v>41925</v>
      </c>
      <c r="P17" s="28" t="s">
        <v>98</v>
      </c>
      <c r="Q17" s="33">
        <v>1</v>
      </c>
      <c r="R17" s="33">
        <v>10.7241550925926</v>
      </c>
      <c r="S17" s="33">
        <v>10.7241550925926</v>
      </c>
      <c r="T17" s="33">
        <v>1</v>
      </c>
      <c r="U17" s="33">
        <v>1</v>
      </c>
      <c r="V17" s="33">
        <v>7.8387268518518498</v>
      </c>
      <c r="W17" s="33">
        <v>28</v>
      </c>
      <c r="X17" s="33">
        <v>21</v>
      </c>
      <c r="Y17" s="33">
        <v>1</v>
      </c>
      <c r="Z17" s="33">
        <v>20</v>
      </c>
      <c r="AA17" s="33">
        <v>1</v>
      </c>
      <c r="AC17" s="29"/>
    </row>
    <row r="18" spans="1:29" x14ac:dyDescent="0.25">
      <c r="A18" s="27" t="s">
        <v>228</v>
      </c>
      <c r="B18" s="27" t="s">
        <v>19</v>
      </c>
      <c r="C18" s="27" t="s">
        <v>13</v>
      </c>
      <c r="D18" s="27" t="s">
        <v>154</v>
      </c>
      <c r="E18" s="27" t="s">
        <v>21</v>
      </c>
      <c r="F18" s="27" t="s">
        <v>505</v>
      </c>
      <c r="G18" s="27" t="s">
        <v>507</v>
      </c>
      <c r="H18" s="27" t="s">
        <v>513</v>
      </c>
      <c r="I18" s="27" t="s">
        <v>517</v>
      </c>
      <c r="J18" s="27" t="s">
        <v>522</v>
      </c>
      <c r="K18" s="27" t="s">
        <v>530</v>
      </c>
      <c r="L18" s="27" t="s">
        <v>539</v>
      </c>
      <c r="M18" s="30">
        <v>41925</v>
      </c>
      <c r="N18" s="30">
        <v>41925</v>
      </c>
      <c r="O18" s="30">
        <v>41949</v>
      </c>
      <c r="P18" s="27" t="s">
        <v>98</v>
      </c>
      <c r="Q18" s="32">
        <v>1</v>
      </c>
      <c r="R18" s="32">
        <v>53.011608796296301</v>
      </c>
      <c r="S18" s="32">
        <v>53.011608796296301</v>
      </c>
      <c r="T18" s="32">
        <v>1</v>
      </c>
      <c r="U18" s="32">
        <v>1</v>
      </c>
      <c r="V18" s="32">
        <v>25.3032291666667</v>
      </c>
      <c r="W18" s="32">
        <v>56</v>
      </c>
      <c r="X18" s="32">
        <v>24.5</v>
      </c>
      <c r="Y18" s="32">
        <v>4.5</v>
      </c>
      <c r="Z18" s="32">
        <v>20</v>
      </c>
      <c r="AA18" s="32">
        <v>1</v>
      </c>
      <c r="AC18" s="29"/>
    </row>
    <row r="19" spans="1:29" x14ac:dyDescent="0.25">
      <c r="A19" s="28" t="s">
        <v>229</v>
      </c>
      <c r="B19" s="28" t="s">
        <v>14</v>
      </c>
      <c r="C19" s="28" t="s">
        <v>13</v>
      </c>
      <c r="D19" s="28" t="s">
        <v>154</v>
      </c>
      <c r="E19" s="28" t="s">
        <v>21</v>
      </c>
      <c r="F19" s="28" t="s">
        <v>505</v>
      </c>
      <c r="G19" s="28" t="s">
        <v>509</v>
      </c>
      <c r="H19" s="28" t="s">
        <v>513</v>
      </c>
      <c r="I19" s="28" t="s">
        <v>517</v>
      </c>
      <c r="J19" s="28" t="s">
        <v>520</v>
      </c>
      <c r="K19" s="28" t="s">
        <v>529</v>
      </c>
      <c r="L19" s="28" t="s">
        <v>539</v>
      </c>
      <c r="M19" s="31">
        <v>41935</v>
      </c>
      <c r="N19" s="31">
        <v>41935</v>
      </c>
      <c r="O19" s="31">
        <v>41946</v>
      </c>
      <c r="P19" s="28" t="s">
        <v>98</v>
      </c>
      <c r="Q19" s="33">
        <v>1</v>
      </c>
      <c r="R19" s="33">
        <v>56.032129629629601</v>
      </c>
      <c r="S19" s="33">
        <v>56.032129629629601</v>
      </c>
      <c r="T19" s="33">
        <v>1</v>
      </c>
      <c r="U19" s="33">
        <v>1</v>
      </c>
      <c r="V19" s="33">
        <v>12.043252314814801</v>
      </c>
      <c r="W19" s="33">
        <v>56</v>
      </c>
      <c r="X19" s="33">
        <v>23.25</v>
      </c>
      <c r="Y19" s="33">
        <v>3.25</v>
      </c>
      <c r="Z19" s="33">
        <v>20</v>
      </c>
      <c r="AA19" s="33">
        <v>1</v>
      </c>
      <c r="AC19" s="29"/>
    </row>
    <row r="20" spans="1:29" x14ac:dyDescent="0.25">
      <c r="A20" s="27" t="s">
        <v>230</v>
      </c>
      <c r="B20" s="27" t="s">
        <v>14</v>
      </c>
      <c r="C20" s="27" t="s">
        <v>13</v>
      </c>
      <c r="D20" s="27" t="s">
        <v>154</v>
      </c>
      <c r="E20" s="27" t="s">
        <v>21</v>
      </c>
      <c r="F20" s="27" t="s">
        <v>506</v>
      </c>
      <c r="G20" s="27" t="s">
        <v>508</v>
      </c>
      <c r="H20" s="27" t="s">
        <v>513</v>
      </c>
      <c r="I20" s="27" t="s">
        <v>517</v>
      </c>
      <c r="J20" s="27" t="s">
        <v>521</v>
      </c>
      <c r="K20" s="27" t="s">
        <v>529</v>
      </c>
      <c r="L20" s="27" t="s">
        <v>539</v>
      </c>
      <c r="M20" s="30">
        <v>41939</v>
      </c>
      <c r="N20" s="30">
        <v>41939</v>
      </c>
      <c r="O20" s="30">
        <v>41942</v>
      </c>
      <c r="P20" s="27" t="s">
        <v>113</v>
      </c>
      <c r="Q20" s="32">
        <v>1</v>
      </c>
      <c r="R20" s="32">
        <v>37.9296064814815</v>
      </c>
      <c r="S20" s="32">
        <v>37.9296064814815</v>
      </c>
      <c r="T20" s="32">
        <v>1</v>
      </c>
      <c r="U20" s="32">
        <v>1</v>
      </c>
      <c r="V20" s="32">
        <v>10.0549652777778</v>
      </c>
      <c r="W20" s="32">
        <v>56</v>
      </c>
      <c r="X20" s="32">
        <v>35</v>
      </c>
      <c r="Y20" s="32">
        <v>33</v>
      </c>
      <c r="Z20" s="32">
        <v>2</v>
      </c>
      <c r="AA20" s="32">
        <v>1</v>
      </c>
      <c r="AC20" s="29"/>
    </row>
    <row r="21" spans="1:29" x14ac:dyDescent="0.25">
      <c r="A21" s="28" t="s">
        <v>231</v>
      </c>
      <c r="B21" s="28" t="s">
        <v>19</v>
      </c>
      <c r="C21" s="28" t="s">
        <v>13</v>
      </c>
      <c r="D21" s="28" t="s">
        <v>154</v>
      </c>
      <c r="E21" s="28" t="s">
        <v>21</v>
      </c>
      <c r="F21" s="28" t="s">
        <v>505</v>
      </c>
      <c r="G21" s="28" t="s">
        <v>509</v>
      </c>
      <c r="H21" s="28" t="s">
        <v>513</v>
      </c>
      <c r="I21" s="28" t="s">
        <v>517</v>
      </c>
      <c r="J21" s="28" t="s">
        <v>520</v>
      </c>
      <c r="K21" s="28" t="s">
        <v>529</v>
      </c>
      <c r="L21" s="28" t="s">
        <v>539</v>
      </c>
      <c r="M21" s="31">
        <v>41942</v>
      </c>
      <c r="N21" s="31">
        <v>41942</v>
      </c>
      <c r="O21" s="31">
        <v>41968</v>
      </c>
      <c r="P21" s="28" t="s">
        <v>107</v>
      </c>
      <c r="Q21" s="33">
        <v>1</v>
      </c>
      <c r="R21" s="33">
        <v>32.132314814814798</v>
      </c>
      <c r="S21" s="33">
        <v>32.132314814814798</v>
      </c>
      <c r="T21" s="33">
        <v>1</v>
      </c>
      <c r="U21" s="33">
        <v>1</v>
      </c>
      <c r="V21" s="33">
        <v>26.117280092592601</v>
      </c>
      <c r="W21" s="33">
        <v>56</v>
      </c>
      <c r="X21" s="33">
        <v>23.25</v>
      </c>
      <c r="Y21" s="33">
        <v>3.25</v>
      </c>
      <c r="Z21" s="33">
        <v>20</v>
      </c>
      <c r="AA21" s="33">
        <v>1</v>
      </c>
      <c r="AC21" s="29"/>
    </row>
    <row r="22" spans="1:29" x14ac:dyDescent="0.25">
      <c r="A22" s="27" t="s">
        <v>232</v>
      </c>
      <c r="B22" s="27" t="s">
        <v>19</v>
      </c>
      <c r="C22" s="27" t="s">
        <v>16</v>
      </c>
      <c r="D22" s="27" t="s">
        <v>500</v>
      </c>
      <c r="E22" s="27" t="s">
        <v>21</v>
      </c>
      <c r="F22" s="27" t="s">
        <v>505</v>
      </c>
      <c r="G22" s="27" t="s">
        <v>507</v>
      </c>
      <c r="H22" s="27" t="s">
        <v>513</v>
      </c>
      <c r="I22" s="27" t="s">
        <v>517</v>
      </c>
      <c r="J22" s="27" t="s">
        <v>520</v>
      </c>
      <c r="K22" s="27" t="s">
        <v>529</v>
      </c>
      <c r="L22" s="27" t="s">
        <v>539</v>
      </c>
      <c r="M22" s="30">
        <v>41948</v>
      </c>
      <c r="N22" s="30">
        <v>41948</v>
      </c>
      <c r="O22" s="30">
        <v>41956</v>
      </c>
      <c r="P22" s="27" t="s">
        <v>112</v>
      </c>
      <c r="Q22" s="32">
        <v>1</v>
      </c>
      <c r="R22" s="32">
        <v>8.5675462962962996</v>
      </c>
      <c r="S22" s="32">
        <v>14.6726041666667</v>
      </c>
      <c r="T22" s="32">
        <v>1</v>
      </c>
      <c r="U22" s="32">
        <v>1</v>
      </c>
      <c r="V22" s="32">
        <v>8.5672916666666694</v>
      </c>
      <c r="W22" s="32">
        <v>28</v>
      </c>
      <c r="X22" s="32">
        <v>22.25</v>
      </c>
      <c r="Y22" s="32">
        <v>2.25</v>
      </c>
      <c r="Z22" s="32">
        <v>20</v>
      </c>
      <c r="AA22" s="32">
        <v>1</v>
      </c>
      <c r="AC22" s="29"/>
    </row>
    <row r="23" spans="1:29" x14ac:dyDescent="0.25">
      <c r="A23" s="28" t="s">
        <v>233</v>
      </c>
      <c r="B23" s="28" t="s">
        <v>19</v>
      </c>
      <c r="C23" s="28" t="s">
        <v>13</v>
      </c>
      <c r="D23" s="28" t="s">
        <v>154</v>
      </c>
      <c r="E23" s="28" t="s">
        <v>21</v>
      </c>
      <c r="F23" s="28" t="s">
        <v>505</v>
      </c>
      <c r="G23" s="28" t="s">
        <v>509</v>
      </c>
      <c r="H23" s="28" t="s">
        <v>513</v>
      </c>
      <c r="I23" s="28" t="s">
        <v>517</v>
      </c>
      <c r="J23" s="28" t="s">
        <v>520</v>
      </c>
      <c r="K23" s="28" t="s">
        <v>529</v>
      </c>
      <c r="L23" s="28" t="s">
        <v>539</v>
      </c>
      <c r="M23" s="31">
        <v>41962</v>
      </c>
      <c r="N23" s="31">
        <v>41962</v>
      </c>
      <c r="O23" s="31">
        <v>41971</v>
      </c>
      <c r="P23" s="28" t="s">
        <v>98</v>
      </c>
      <c r="Q23" s="33">
        <v>1</v>
      </c>
      <c r="R23" s="33">
        <v>11.8654861111111</v>
      </c>
      <c r="S23" s="33">
        <v>11.8654861111111</v>
      </c>
      <c r="T23" s="33">
        <v>1</v>
      </c>
      <c r="U23" s="33">
        <v>1</v>
      </c>
      <c r="V23" s="33">
        <v>11.8620949074074</v>
      </c>
      <c r="W23" s="33">
        <v>56</v>
      </c>
      <c r="X23" s="33">
        <v>20.75</v>
      </c>
      <c r="Y23" s="33">
        <v>0.75</v>
      </c>
      <c r="Z23" s="33">
        <v>20</v>
      </c>
      <c r="AA23" s="33">
        <v>1</v>
      </c>
      <c r="AC23" s="29"/>
    </row>
    <row r="24" spans="1:29" x14ac:dyDescent="0.25">
      <c r="A24" s="27" t="s">
        <v>234</v>
      </c>
      <c r="B24" s="27" t="s">
        <v>19</v>
      </c>
      <c r="C24" s="27" t="s">
        <v>13</v>
      </c>
      <c r="D24" s="27" t="s">
        <v>154</v>
      </c>
      <c r="E24" s="27" t="s">
        <v>21</v>
      </c>
      <c r="F24" s="27" t="s">
        <v>505</v>
      </c>
      <c r="G24" s="27" t="s">
        <v>509</v>
      </c>
      <c r="H24" s="27" t="s">
        <v>513</v>
      </c>
      <c r="I24" s="27" t="s">
        <v>517</v>
      </c>
      <c r="J24" s="27" t="s">
        <v>522</v>
      </c>
      <c r="K24" s="27" t="s">
        <v>529</v>
      </c>
      <c r="L24" s="27" t="s">
        <v>539</v>
      </c>
      <c r="M24" s="30">
        <v>41964</v>
      </c>
      <c r="N24" s="30">
        <v>41965</v>
      </c>
      <c r="O24" s="30">
        <v>41983</v>
      </c>
      <c r="P24" s="27" t="s">
        <v>110</v>
      </c>
      <c r="Q24" s="32">
        <v>1</v>
      </c>
      <c r="R24" s="32">
        <v>24.223599537037</v>
      </c>
      <c r="S24" s="32">
        <v>24.223599537037</v>
      </c>
      <c r="T24" s="32">
        <v>1</v>
      </c>
      <c r="U24" s="32">
        <v>1</v>
      </c>
      <c r="V24" s="32">
        <v>19.2819560185185</v>
      </c>
      <c r="W24" s="32">
        <v>56</v>
      </c>
      <c r="X24" s="32">
        <v>21.5</v>
      </c>
      <c r="Y24" s="32">
        <v>2.5</v>
      </c>
      <c r="Z24" s="32">
        <v>19</v>
      </c>
      <c r="AA24" s="32">
        <v>1</v>
      </c>
      <c r="AC24" s="29"/>
    </row>
    <row r="25" spans="1:29" x14ac:dyDescent="0.25">
      <c r="A25" s="28" t="s">
        <v>235</v>
      </c>
      <c r="B25" s="28" t="s">
        <v>19</v>
      </c>
      <c r="C25" s="28" t="s">
        <v>13</v>
      </c>
      <c r="D25" s="28" t="s">
        <v>154</v>
      </c>
      <c r="E25" s="28" t="s">
        <v>21</v>
      </c>
      <c r="F25" s="28" t="s">
        <v>505</v>
      </c>
      <c r="G25" s="28" t="s">
        <v>509</v>
      </c>
      <c r="H25" s="28" t="s">
        <v>513</v>
      </c>
      <c r="I25" s="28" t="s">
        <v>517</v>
      </c>
      <c r="J25" s="28" t="s">
        <v>522</v>
      </c>
      <c r="K25" s="28" t="s">
        <v>529</v>
      </c>
      <c r="L25" s="28" t="s">
        <v>539</v>
      </c>
      <c r="M25" s="31">
        <v>41964</v>
      </c>
      <c r="N25" s="31">
        <v>41965</v>
      </c>
      <c r="O25" s="31">
        <v>41983</v>
      </c>
      <c r="P25" s="28" t="s">
        <v>110</v>
      </c>
      <c r="Q25" s="33">
        <v>1</v>
      </c>
      <c r="R25" s="33">
        <v>24.2211226851852</v>
      </c>
      <c r="S25" s="33">
        <v>24.2211226851852</v>
      </c>
      <c r="T25" s="33">
        <v>1</v>
      </c>
      <c r="U25" s="33">
        <v>1</v>
      </c>
      <c r="V25" s="33">
        <v>20.084606481481501</v>
      </c>
      <c r="W25" s="33">
        <v>56</v>
      </c>
      <c r="X25" s="33">
        <v>21.25</v>
      </c>
      <c r="Y25" s="33">
        <v>2.25</v>
      </c>
      <c r="Z25" s="33">
        <v>19</v>
      </c>
      <c r="AA25" s="33">
        <v>1</v>
      </c>
      <c r="AC25" s="29"/>
    </row>
    <row r="26" spans="1:29" x14ac:dyDescent="0.25">
      <c r="A26" s="27" t="s">
        <v>236</v>
      </c>
      <c r="B26" s="27" t="s">
        <v>14</v>
      </c>
      <c r="C26" s="27" t="s">
        <v>15</v>
      </c>
      <c r="D26" s="27" t="s">
        <v>154</v>
      </c>
      <c r="E26" s="27" t="s">
        <v>21</v>
      </c>
      <c r="F26" s="27" t="s">
        <v>506</v>
      </c>
      <c r="G26" s="27" t="s">
        <v>510</v>
      </c>
      <c r="H26" s="27" t="s">
        <v>513</v>
      </c>
      <c r="I26" s="27" t="s">
        <v>516</v>
      </c>
      <c r="J26" s="27" t="s">
        <v>516</v>
      </c>
      <c r="K26" s="27" t="s">
        <v>529</v>
      </c>
      <c r="L26" s="27" t="s">
        <v>539</v>
      </c>
      <c r="M26" s="30">
        <v>41975</v>
      </c>
      <c r="N26" s="30"/>
      <c r="O26" s="30"/>
      <c r="P26" s="27" t="s">
        <v>101</v>
      </c>
      <c r="Q26" s="32">
        <v>1</v>
      </c>
      <c r="R26" s="32">
        <v>17.820798611111101</v>
      </c>
      <c r="S26" s="32">
        <v>17.820798611111101</v>
      </c>
      <c r="T26" s="32">
        <v>0</v>
      </c>
      <c r="U26" s="32">
        <v>1</v>
      </c>
      <c r="V26" s="32">
        <v>8.6928935185185203</v>
      </c>
      <c r="W26" s="32">
        <v>140</v>
      </c>
      <c r="X26" s="32">
        <v>27.75</v>
      </c>
      <c r="Y26" s="32">
        <v>27.75</v>
      </c>
      <c r="Z26" s="32">
        <v>0</v>
      </c>
      <c r="AA26" s="32">
        <v>1</v>
      </c>
      <c r="AC26" s="29"/>
    </row>
    <row r="27" spans="1:29" x14ac:dyDescent="0.25">
      <c r="A27" s="28" t="s">
        <v>237</v>
      </c>
      <c r="B27" s="28" t="s">
        <v>19</v>
      </c>
      <c r="C27" s="28" t="s">
        <v>13</v>
      </c>
      <c r="D27" s="28" t="s">
        <v>154</v>
      </c>
      <c r="E27" s="28" t="s">
        <v>21</v>
      </c>
      <c r="F27" s="28" t="s">
        <v>505</v>
      </c>
      <c r="G27" s="28" t="s">
        <v>509</v>
      </c>
      <c r="H27" s="28" t="s">
        <v>513</v>
      </c>
      <c r="I27" s="28" t="s">
        <v>517</v>
      </c>
      <c r="J27" s="28" t="s">
        <v>522</v>
      </c>
      <c r="K27" s="28" t="s">
        <v>529</v>
      </c>
      <c r="L27" s="28" t="s">
        <v>539</v>
      </c>
      <c r="M27" s="31">
        <v>41995</v>
      </c>
      <c r="N27" s="31">
        <v>41995</v>
      </c>
      <c r="O27" s="31">
        <v>42018</v>
      </c>
      <c r="P27" s="28" t="s">
        <v>106</v>
      </c>
      <c r="Q27" s="33">
        <v>1</v>
      </c>
      <c r="R27" s="33">
        <v>32.258715277777803</v>
      </c>
      <c r="S27" s="33">
        <v>32.258715277777803</v>
      </c>
      <c r="T27" s="33">
        <v>1</v>
      </c>
      <c r="U27" s="33">
        <v>1</v>
      </c>
      <c r="V27" s="33">
        <v>30.0138078703704</v>
      </c>
      <c r="W27" s="33">
        <v>56</v>
      </c>
      <c r="X27" s="33">
        <v>21.5</v>
      </c>
      <c r="Y27" s="33">
        <v>1.5</v>
      </c>
      <c r="Z27" s="33">
        <v>20</v>
      </c>
      <c r="AA27" s="33">
        <v>1</v>
      </c>
      <c r="AC27" s="29"/>
    </row>
    <row r="28" spans="1:29" x14ac:dyDescent="0.25">
      <c r="A28" s="27" t="s">
        <v>238</v>
      </c>
      <c r="B28" s="27" t="s">
        <v>19</v>
      </c>
      <c r="C28" s="27" t="s">
        <v>13</v>
      </c>
      <c r="D28" s="27" t="s">
        <v>154</v>
      </c>
      <c r="E28" s="27" t="s">
        <v>21</v>
      </c>
      <c r="F28" s="27" t="s">
        <v>506</v>
      </c>
      <c r="G28" s="27" t="s">
        <v>510</v>
      </c>
      <c r="H28" s="27" t="s">
        <v>513</v>
      </c>
      <c r="I28" s="27" t="s">
        <v>517</v>
      </c>
      <c r="J28" s="27" t="s">
        <v>522</v>
      </c>
      <c r="K28" s="27" t="s">
        <v>531</v>
      </c>
      <c r="L28" s="27" t="s">
        <v>539</v>
      </c>
      <c r="M28" s="30">
        <v>42016</v>
      </c>
      <c r="N28" s="30">
        <v>42016</v>
      </c>
      <c r="O28" s="30">
        <v>42038</v>
      </c>
      <c r="P28" s="27" t="s">
        <v>98</v>
      </c>
      <c r="Q28" s="32">
        <v>1</v>
      </c>
      <c r="R28" s="32">
        <v>23.1926736111111</v>
      </c>
      <c r="S28" s="32">
        <v>23.1926736111111</v>
      </c>
      <c r="T28" s="32">
        <v>1</v>
      </c>
      <c r="U28" s="32">
        <v>1</v>
      </c>
      <c r="V28" s="32">
        <v>23.187638888888898</v>
      </c>
      <c r="W28" s="32">
        <v>56</v>
      </c>
      <c r="X28" s="32">
        <v>20.75</v>
      </c>
      <c r="Y28" s="32">
        <v>0.75</v>
      </c>
      <c r="Z28" s="32">
        <v>20</v>
      </c>
      <c r="AA28" s="32">
        <v>1</v>
      </c>
      <c r="AC28" s="29"/>
    </row>
    <row r="29" spans="1:29" x14ac:dyDescent="0.25">
      <c r="A29" s="28" t="s">
        <v>239</v>
      </c>
      <c r="B29" s="28" t="s">
        <v>14</v>
      </c>
      <c r="C29" s="28" t="s">
        <v>13</v>
      </c>
      <c r="D29" s="28" t="s">
        <v>154</v>
      </c>
      <c r="E29" s="28" t="s">
        <v>21</v>
      </c>
      <c r="F29" s="28" t="s">
        <v>505</v>
      </c>
      <c r="G29" s="28" t="s">
        <v>509</v>
      </c>
      <c r="H29" s="28" t="s">
        <v>513</v>
      </c>
      <c r="I29" s="28" t="s">
        <v>517</v>
      </c>
      <c r="J29" s="28" t="s">
        <v>522</v>
      </c>
      <c r="K29" s="28" t="s">
        <v>529</v>
      </c>
      <c r="L29" s="28" t="s">
        <v>539</v>
      </c>
      <c r="M29" s="31">
        <v>42025</v>
      </c>
      <c r="N29" s="31">
        <v>42025</v>
      </c>
      <c r="O29" s="31">
        <v>42041</v>
      </c>
      <c r="P29" s="28" t="s">
        <v>113</v>
      </c>
      <c r="Q29" s="33">
        <v>1</v>
      </c>
      <c r="R29" s="33">
        <v>19.0136458333333</v>
      </c>
      <c r="S29" s="33">
        <v>19.0136458333333</v>
      </c>
      <c r="T29" s="33">
        <v>1</v>
      </c>
      <c r="U29" s="33">
        <v>1</v>
      </c>
      <c r="V29" s="33">
        <v>19.0125925925926</v>
      </c>
      <c r="W29" s="33">
        <v>56</v>
      </c>
      <c r="X29" s="33">
        <v>21</v>
      </c>
      <c r="Y29" s="33">
        <v>1</v>
      </c>
      <c r="Z29" s="33">
        <v>20</v>
      </c>
      <c r="AA29" s="33">
        <v>1</v>
      </c>
      <c r="AC29" s="29"/>
    </row>
    <row r="30" spans="1:29" x14ac:dyDescent="0.25">
      <c r="A30" s="27" t="s">
        <v>240</v>
      </c>
      <c r="B30" s="27" t="s">
        <v>19</v>
      </c>
      <c r="C30" s="27" t="s">
        <v>13</v>
      </c>
      <c r="D30" s="27" t="s">
        <v>75</v>
      </c>
      <c r="E30" s="27" t="s">
        <v>28</v>
      </c>
      <c r="F30" s="27" t="s">
        <v>506</v>
      </c>
      <c r="G30" s="27" t="s">
        <v>510</v>
      </c>
      <c r="H30" s="27" t="s">
        <v>513</v>
      </c>
      <c r="I30" s="27" t="s">
        <v>517</v>
      </c>
      <c r="J30" s="27" t="s">
        <v>523</v>
      </c>
      <c r="K30" s="27" t="s">
        <v>529</v>
      </c>
      <c r="L30" s="27" t="s">
        <v>539</v>
      </c>
      <c r="M30" s="30">
        <v>42031</v>
      </c>
      <c r="N30" s="30">
        <v>42032</v>
      </c>
      <c r="O30" s="30">
        <v>42066</v>
      </c>
      <c r="P30" s="27" t="s">
        <v>103</v>
      </c>
      <c r="Q30" s="32">
        <v>1</v>
      </c>
      <c r="R30" s="32">
        <v>44.511030092592598</v>
      </c>
      <c r="S30" s="32">
        <v>44.511030092592598</v>
      </c>
      <c r="T30" s="32">
        <v>1</v>
      </c>
      <c r="U30" s="32">
        <v>1</v>
      </c>
      <c r="V30" s="32">
        <v>44.510555555555598</v>
      </c>
      <c r="W30" s="32">
        <v>45</v>
      </c>
      <c r="X30" s="32">
        <v>20</v>
      </c>
      <c r="Y30" s="32">
        <v>0</v>
      </c>
      <c r="Z30" s="32">
        <v>20</v>
      </c>
      <c r="AA30" s="32">
        <v>1</v>
      </c>
      <c r="AC30" s="29"/>
    </row>
    <row r="31" spans="1:29" x14ac:dyDescent="0.25">
      <c r="A31" s="28" t="s">
        <v>241</v>
      </c>
      <c r="B31" s="28" t="s">
        <v>19</v>
      </c>
      <c r="C31" s="28" t="s">
        <v>13</v>
      </c>
      <c r="D31" s="28" t="s">
        <v>75</v>
      </c>
      <c r="E31" s="28" t="s">
        <v>28</v>
      </c>
      <c r="F31" s="28" t="s">
        <v>506</v>
      </c>
      <c r="G31" s="28" t="s">
        <v>510</v>
      </c>
      <c r="H31" s="28" t="s">
        <v>513</v>
      </c>
      <c r="I31" s="28" t="s">
        <v>517</v>
      </c>
      <c r="J31" s="28" t="s">
        <v>524</v>
      </c>
      <c r="K31" s="28" t="s">
        <v>529</v>
      </c>
      <c r="L31" s="28" t="s">
        <v>539</v>
      </c>
      <c r="M31" s="31">
        <v>42032</v>
      </c>
      <c r="N31" s="31">
        <v>42032</v>
      </c>
      <c r="O31" s="31">
        <v>42065</v>
      </c>
      <c r="P31" s="28" t="s">
        <v>115</v>
      </c>
      <c r="Q31" s="33">
        <v>1</v>
      </c>
      <c r="R31" s="33">
        <v>44.415856481481498</v>
      </c>
      <c r="S31" s="33">
        <v>44.415856481481498</v>
      </c>
      <c r="T31" s="33">
        <v>1</v>
      </c>
      <c r="U31" s="33">
        <v>1</v>
      </c>
      <c r="V31" s="33">
        <v>44.414664351851798</v>
      </c>
      <c r="W31" s="33">
        <v>45</v>
      </c>
      <c r="X31" s="33">
        <v>20</v>
      </c>
      <c r="Y31" s="33">
        <v>0</v>
      </c>
      <c r="Z31" s="33">
        <v>20</v>
      </c>
      <c r="AA31" s="33">
        <v>1</v>
      </c>
      <c r="AC31" s="29"/>
    </row>
    <row r="32" spans="1:29" x14ac:dyDescent="0.25">
      <c r="A32" s="27" t="s">
        <v>242</v>
      </c>
      <c r="B32" s="27" t="s">
        <v>14</v>
      </c>
      <c r="C32" s="27" t="s">
        <v>13</v>
      </c>
      <c r="D32" s="27" t="s">
        <v>154</v>
      </c>
      <c r="E32" s="27" t="s">
        <v>21</v>
      </c>
      <c r="F32" s="27" t="s">
        <v>505</v>
      </c>
      <c r="G32" s="27" t="s">
        <v>509</v>
      </c>
      <c r="H32" s="27" t="s">
        <v>513</v>
      </c>
      <c r="I32" s="27" t="s">
        <v>517</v>
      </c>
      <c r="J32" s="27" t="s">
        <v>524</v>
      </c>
      <c r="K32" s="27" t="s">
        <v>529</v>
      </c>
      <c r="L32" s="27" t="s">
        <v>539</v>
      </c>
      <c r="M32" s="30">
        <v>42040</v>
      </c>
      <c r="N32" s="30">
        <v>42044</v>
      </c>
      <c r="O32" s="30">
        <v>42060</v>
      </c>
      <c r="P32" s="27" t="s">
        <v>98</v>
      </c>
      <c r="Q32" s="32">
        <v>1</v>
      </c>
      <c r="R32" s="32">
        <v>95.744201388888897</v>
      </c>
      <c r="S32" s="32">
        <v>95.744201388888897</v>
      </c>
      <c r="T32" s="32">
        <v>1</v>
      </c>
      <c r="U32" s="32">
        <v>1</v>
      </c>
      <c r="V32" s="32">
        <v>61.9353703703704</v>
      </c>
      <c r="W32" s="32">
        <v>56</v>
      </c>
      <c r="X32" s="32">
        <v>48.5</v>
      </c>
      <c r="Y32" s="32">
        <v>28.5</v>
      </c>
      <c r="Z32" s="32">
        <v>20</v>
      </c>
      <c r="AA32" s="32">
        <v>0</v>
      </c>
      <c r="AC32" s="29"/>
    </row>
    <row r="33" spans="1:29" x14ac:dyDescent="0.25">
      <c r="A33" s="28" t="s">
        <v>243</v>
      </c>
      <c r="B33" s="28" t="s">
        <v>14</v>
      </c>
      <c r="C33" s="28" t="s">
        <v>13</v>
      </c>
      <c r="D33" s="28" t="s">
        <v>154</v>
      </c>
      <c r="E33" s="28" t="s">
        <v>21</v>
      </c>
      <c r="F33" s="28" t="s">
        <v>506</v>
      </c>
      <c r="G33" s="28" t="s">
        <v>510</v>
      </c>
      <c r="H33" s="28" t="s">
        <v>513</v>
      </c>
      <c r="I33" s="28" t="s">
        <v>516</v>
      </c>
      <c r="J33" s="28" t="s">
        <v>516</v>
      </c>
      <c r="K33" s="28" t="s">
        <v>529</v>
      </c>
      <c r="L33" s="28" t="s">
        <v>539</v>
      </c>
      <c r="M33" s="31">
        <v>42040</v>
      </c>
      <c r="N33" s="31"/>
      <c r="O33" s="31"/>
      <c r="P33" s="28" t="s">
        <v>110</v>
      </c>
      <c r="Q33" s="33">
        <v>1</v>
      </c>
      <c r="R33" s="33">
        <v>95.890393518518493</v>
      </c>
      <c r="S33" s="33">
        <v>95.890393518518493</v>
      </c>
      <c r="T33" s="33">
        <v>0</v>
      </c>
      <c r="U33" s="33">
        <v>1</v>
      </c>
      <c r="V33" s="33">
        <v>59.724872685185197</v>
      </c>
      <c r="W33" s="33">
        <v>56</v>
      </c>
      <c r="X33" s="33">
        <v>8.5</v>
      </c>
      <c r="Y33" s="33">
        <v>8.5</v>
      </c>
      <c r="Z33" s="33">
        <v>0</v>
      </c>
      <c r="AA33" s="33">
        <v>0</v>
      </c>
      <c r="AC33" s="29"/>
    </row>
    <row r="34" spans="1:29" x14ac:dyDescent="0.25">
      <c r="A34" s="27" t="s">
        <v>244</v>
      </c>
      <c r="B34" s="27" t="s">
        <v>14</v>
      </c>
      <c r="C34" s="27" t="s">
        <v>13</v>
      </c>
      <c r="D34" s="27" t="s">
        <v>154</v>
      </c>
      <c r="E34" s="27" t="s">
        <v>21</v>
      </c>
      <c r="F34" s="27" t="s">
        <v>505</v>
      </c>
      <c r="G34" s="27" t="s">
        <v>509</v>
      </c>
      <c r="H34" s="27" t="s">
        <v>513</v>
      </c>
      <c r="I34" s="27" t="s">
        <v>517</v>
      </c>
      <c r="J34" s="27" t="s">
        <v>522</v>
      </c>
      <c r="K34" s="27" t="s">
        <v>529</v>
      </c>
      <c r="L34" s="27" t="s">
        <v>539</v>
      </c>
      <c r="M34" s="30">
        <v>42048</v>
      </c>
      <c r="N34" s="30">
        <v>42051</v>
      </c>
      <c r="O34" s="30">
        <v>42055</v>
      </c>
      <c r="P34" s="27" t="s">
        <v>99</v>
      </c>
      <c r="Q34" s="32">
        <v>1</v>
      </c>
      <c r="R34" s="32">
        <v>17.328495370370401</v>
      </c>
      <c r="S34" s="32">
        <v>25.324641203703699</v>
      </c>
      <c r="T34" s="32">
        <v>0</v>
      </c>
      <c r="U34" s="32">
        <v>1</v>
      </c>
      <c r="V34" s="32">
        <v>13.3917939814815</v>
      </c>
      <c r="W34" s="32">
        <v>56</v>
      </c>
      <c r="X34" s="32">
        <v>41.5</v>
      </c>
      <c r="Y34" s="32">
        <v>41.5</v>
      </c>
      <c r="Z34" s="32">
        <v>0</v>
      </c>
      <c r="AA34" s="32">
        <v>1</v>
      </c>
      <c r="AC34" s="29"/>
    </row>
    <row r="35" spans="1:29" x14ac:dyDescent="0.25">
      <c r="A35" s="28" t="s">
        <v>245</v>
      </c>
      <c r="B35" s="28" t="s">
        <v>14</v>
      </c>
      <c r="C35" s="28" t="s">
        <v>13</v>
      </c>
      <c r="D35" s="28" t="s">
        <v>154</v>
      </c>
      <c r="E35" s="28" t="s">
        <v>21</v>
      </c>
      <c r="F35" s="28" t="s">
        <v>506</v>
      </c>
      <c r="G35" s="28" t="s">
        <v>510</v>
      </c>
      <c r="H35" s="28" t="s">
        <v>513</v>
      </c>
      <c r="I35" s="28" t="s">
        <v>517</v>
      </c>
      <c r="J35" s="28" t="s">
        <v>520</v>
      </c>
      <c r="K35" s="28" t="s">
        <v>529</v>
      </c>
      <c r="L35" s="28" t="s">
        <v>539</v>
      </c>
      <c r="M35" s="31">
        <v>42068</v>
      </c>
      <c r="N35" s="31">
        <v>42068</v>
      </c>
      <c r="O35" s="31">
        <v>42082</v>
      </c>
      <c r="P35" s="28" t="s">
        <v>98</v>
      </c>
      <c r="Q35" s="33">
        <v>1</v>
      </c>
      <c r="R35" s="33">
        <v>46.206608796296301</v>
      </c>
      <c r="S35" s="33">
        <v>46.206608796296301</v>
      </c>
      <c r="T35" s="33">
        <v>1</v>
      </c>
      <c r="U35" s="33">
        <v>1</v>
      </c>
      <c r="V35" s="33">
        <v>15.190509259259301</v>
      </c>
      <c r="W35" s="33">
        <v>56</v>
      </c>
      <c r="X35" s="33">
        <v>21</v>
      </c>
      <c r="Y35" s="33">
        <v>1</v>
      </c>
      <c r="Z35" s="33">
        <v>20</v>
      </c>
      <c r="AA35" s="33">
        <v>1</v>
      </c>
      <c r="AC35" s="29"/>
    </row>
    <row r="36" spans="1:29" x14ac:dyDescent="0.25">
      <c r="A36" s="27" t="s">
        <v>246</v>
      </c>
      <c r="B36" s="27" t="s">
        <v>19</v>
      </c>
      <c r="C36" s="27" t="s">
        <v>16</v>
      </c>
      <c r="D36" s="27" t="s">
        <v>75</v>
      </c>
      <c r="E36" s="27" t="s">
        <v>28</v>
      </c>
      <c r="F36" s="27" t="s">
        <v>505</v>
      </c>
      <c r="G36" s="27" t="s">
        <v>509</v>
      </c>
      <c r="H36" s="27" t="s">
        <v>513</v>
      </c>
      <c r="I36" s="27" t="s">
        <v>517</v>
      </c>
      <c r="J36" s="27" t="s">
        <v>520</v>
      </c>
      <c r="K36" s="27" t="s">
        <v>529</v>
      </c>
      <c r="L36" s="27" t="s">
        <v>539</v>
      </c>
      <c r="M36" s="30">
        <v>42076</v>
      </c>
      <c r="N36" s="30">
        <v>42076</v>
      </c>
      <c r="O36" s="30">
        <v>42083</v>
      </c>
      <c r="P36" s="27" t="s">
        <v>114</v>
      </c>
      <c r="Q36" s="32">
        <v>1</v>
      </c>
      <c r="R36" s="32">
        <v>9.5098958333333297</v>
      </c>
      <c r="S36" s="32">
        <v>9.5098958333333297</v>
      </c>
      <c r="T36" s="32">
        <v>1</v>
      </c>
      <c r="U36" s="32">
        <v>1</v>
      </c>
      <c r="V36" s="32">
        <v>9.50920138888889</v>
      </c>
      <c r="W36" s="32">
        <v>45</v>
      </c>
      <c r="X36" s="32">
        <v>20</v>
      </c>
      <c r="Y36" s="32">
        <v>0</v>
      </c>
      <c r="Z36" s="32">
        <v>20</v>
      </c>
      <c r="AA36" s="32">
        <v>1</v>
      </c>
      <c r="AC36" s="29"/>
    </row>
    <row r="37" spans="1:29" x14ac:dyDescent="0.25">
      <c r="A37" s="28" t="s">
        <v>247</v>
      </c>
      <c r="B37" s="28" t="s">
        <v>14</v>
      </c>
      <c r="C37" s="28" t="s">
        <v>13</v>
      </c>
      <c r="D37" s="28" t="s">
        <v>154</v>
      </c>
      <c r="E37" s="28" t="s">
        <v>21</v>
      </c>
      <c r="F37" s="28" t="s">
        <v>506</v>
      </c>
      <c r="G37" s="28" t="s">
        <v>510</v>
      </c>
      <c r="H37" s="28" t="s">
        <v>513</v>
      </c>
      <c r="I37" s="28" t="s">
        <v>517</v>
      </c>
      <c r="J37" s="28" t="s">
        <v>520</v>
      </c>
      <c r="K37" s="28" t="s">
        <v>529</v>
      </c>
      <c r="L37" s="28" t="s">
        <v>539</v>
      </c>
      <c r="M37" s="31">
        <v>42076</v>
      </c>
      <c r="N37" s="31">
        <v>42080</v>
      </c>
      <c r="O37" s="31">
        <v>42083</v>
      </c>
      <c r="P37" s="28" t="s">
        <v>98</v>
      </c>
      <c r="Q37" s="33">
        <v>1</v>
      </c>
      <c r="R37" s="33">
        <v>27.034305555555601</v>
      </c>
      <c r="S37" s="33">
        <v>27.034305555555601</v>
      </c>
      <c r="T37" s="33">
        <v>1</v>
      </c>
      <c r="U37" s="33">
        <v>1</v>
      </c>
      <c r="V37" s="33">
        <v>10.3217708333333</v>
      </c>
      <c r="W37" s="33">
        <v>56</v>
      </c>
      <c r="X37" s="33">
        <v>35.5</v>
      </c>
      <c r="Y37" s="33">
        <v>15.5</v>
      </c>
      <c r="Z37" s="33">
        <v>20</v>
      </c>
      <c r="AA37" s="33">
        <v>1</v>
      </c>
      <c r="AC37" s="29"/>
    </row>
    <row r="38" spans="1:29" x14ac:dyDescent="0.25">
      <c r="A38" s="27" t="s">
        <v>248</v>
      </c>
      <c r="B38" s="27" t="s">
        <v>14</v>
      </c>
      <c r="C38" s="27" t="s">
        <v>13</v>
      </c>
      <c r="D38" s="27" t="s">
        <v>154</v>
      </c>
      <c r="E38" s="27" t="s">
        <v>21</v>
      </c>
      <c r="F38" s="27" t="s">
        <v>505</v>
      </c>
      <c r="G38" s="27" t="s">
        <v>509</v>
      </c>
      <c r="H38" s="27" t="s">
        <v>513</v>
      </c>
      <c r="I38" s="27" t="s">
        <v>517</v>
      </c>
      <c r="J38" s="27" t="s">
        <v>520</v>
      </c>
      <c r="K38" s="27" t="s">
        <v>529</v>
      </c>
      <c r="L38" s="27" t="s">
        <v>539</v>
      </c>
      <c r="M38" s="30">
        <v>42083</v>
      </c>
      <c r="N38" s="30">
        <v>42093</v>
      </c>
      <c r="O38" s="30">
        <v>42104</v>
      </c>
      <c r="P38" s="27" t="s">
        <v>102</v>
      </c>
      <c r="Q38" s="32">
        <v>1</v>
      </c>
      <c r="R38" s="32">
        <v>52.931550925925897</v>
      </c>
      <c r="S38" s="32">
        <v>52.931550925925897</v>
      </c>
      <c r="T38" s="32">
        <v>1</v>
      </c>
      <c r="U38" s="32">
        <v>1</v>
      </c>
      <c r="V38" s="32">
        <v>20.982696759259301</v>
      </c>
      <c r="W38" s="32">
        <v>56</v>
      </c>
      <c r="X38" s="32">
        <v>35</v>
      </c>
      <c r="Y38" s="32">
        <v>15</v>
      </c>
      <c r="Z38" s="32">
        <v>20</v>
      </c>
      <c r="AA38" s="32">
        <v>1</v>
      </c>
      <c r="AC38" s="29"/>
    </row>
    <row r="39" spans="1:29" x14ac:dyDescent="0.25">
      <c r="A39" s="28" t="s">
        <v>249</v>
      </c>
      <c r="B39" s="28" t="s">
        <v>19</v>
      </c>
      <c r="C39" s="28" t="s">
        <v>13</v>
      </c>
      <c r="D39" s="28" t="s">
        <v>75</v>
      </c>
      <c r="E39" s="28" t="s">
        <v>28</v>
      </c>
      <c r="F39" s="28" t="s">
        <v>505</v>
      </c>
      <c r="G39" s="28" t="s">
        <v>509</v>
      </c>
      <c r="H39" s="28" t="s">
        <v>513</v>
      </c>
      <c r="I39" s="28" t="s">
        <v>517</v>
      </c>
      <c r="J39" s="28" t="s">
        <v>520</v>
      </c>
      <c r="K39" s="28" t="s">
        <v>529</v>
      </c>
      <c r="L39" s="28" t="s">
        <v>539</v>
      </c>
      <c r="M39" s="31">
        <v>42086</v>
      </c>
      <c r="N39" s="31">
        <v>42086</v>
      </c>
      <c r="O39" s="31">
        <v>42116</v>
      </c>
      <c r="P39" s="28" t="s">
        <v>98</v>
      </c>
      <c r="Q39" s="33">
        <v>1</v>
      </c>
      <c r="R39" s="33">
        <v>31.9361226851852</v>
      </c>
      <c r="S39" s="33">
        <v>31.9361226851852</v>
      </c>
      <c r="T39" s="33">
        <v>1</v>
      </c>
      <c r="U39" s="33">
        <v>1</v>
      </c>
      <c r="V39" s="33">
        <v>31.929224537037001</v>
      </c>
      <c r="W39" s="33">
        <v>45</v>
      </c>
      <c r="X39" s="33">
        <v>20</v>
      </c>
      <c r="Y39" s="33">
        <v>0</v>
      </c>
      <c r="Z39" s="33">
        <v>20</v>
      </c>
      <c r="AA39" s="33">
        <v>1</v>
      </c>
      <c r="AC39" s="29"/>
    </row>
    <row r="40" spans="1:29" x14ac:dyDescent="0.25">
      <c r="A40" s="27" t="s">
        <v>250</v>
      </c>
      <c r="B40" s="27" t="s">
        <v>14</v>
      </c>
      <c r="C40" s="27" t="s">
        <v>13</v>
      </c>
      <c r="D40" s="27" t="s">
        <v>154</v>
      </c>
      <c r="E40" s="27" t="s">
        <v>21</v>
      </c>
      <c r="F40" s="27" t="s">
        <v>505</v>
      </c>
      <c r="G40" s="27" t="s">
        <v>509</v>
      </c>
      <c r="H40" s="27" t="s">
        <v>513</v>
      </c>
      <c r="I40" s="27" t="s">
        <v>517</v>
      </c>
      <c r="J40" s="27" t="s">
        <v>520</v>
      </c>
      <c r="K40" s="27" t="s">
        <v>529</v>
      </c>
      <c r="L40" s="27" t="s">
        <v>539</v>
      </c>
      <c r="M40" s="30">
        <v>42089</v>
      </c>
      <c r="N40" s="30">
        <v>42090</v>
      </c>
      <c r="O40" s="30">
        <v>42109</v>
      </c>
      <c r="P40" s="27" t="s">
        <v>98</v>
      </c>
      <c r="Q40" s="32">
        <v>1</v>
      </c>
      <c r="R40" s="32">
        <v>48.108935185185203</v>
      </c>
      <c r="S40" s="32">
        <v>48.108935185185203</v>
      </c>
      <c r="T40" s="32">
        <v>1</v>
      </c>
      <c r="U40" s="32">
        <v>1</v>
      </c>
      <c r="V40" s="32">
        <v>21.076261574074099</v>
      </c>
      <c r="W40" s="32">
        <v>56</v>
      </c>
      <c r="X40" s="32">
        <v>27</v>
      </c>
      <c r="Y40" s="32">
        <v>7</v>
      </c>
      <c r="Z40" s="32">
        <v>20</v>
      </c>
      <c r="AA40" s="32">
        <v>1</v>
      </c>
      <c r="AC40" s="29"/>
    </row>
    <row r="41" spans="1:29" x14ac:dyDescent="0.25">
      <c r="A41" s="28" t="s">
        <v>251</v>
      </c>
      <c r="B41" s="28" t="s">
        <v>18</v>
      </c>
      <c r="C41" s="28" t="s">
        <v>13</v>
      </c>
      <c r="D41" s="28" t="s">
        <v>154</v>
      </c>
      <c r="E41" s="28" t="s">
        <v>21</v>
      </c>
      <c r="F41" s="28" t="s">
        <v>505</v>
      </c>
      <c r="G41" s="28" t="s">
        <v>509</v>
      </c>
      <c r="H41" s="28" t="s">
        <v>513</v>
      </c>
      <c r="I41" s="28" t="s">
        <v>516</v>
      </c>
      <c r="J41" s="28" t="s">
        <v>516</v>
      </c>
      <c r="K41" s="28" t="s">
        <v>529</v>
      </c>
      <c r="L41" s="28" t="s">
        <v>539</v>
      </c>
      <c r="M41" s="31">
        <v>42096</v>
      </c>
      <c r="N41" s="31"/>
      <c r="O41" s="31"/>
      <c r="P41" s="28" t="s">
        <v>106</v>
      </c>
      <c r="Q41" s="33">
        <v>1</v>
      </c>
      <c r="R41" s="33">
        <v>40.211770833333297</v>
      </c>
      <c r="S41" s="33">
        <v>40.211770833333297</v>
      </c>
      <c r="T41" s="33">
        <v>0</v>
      </c>
      <c r="U41" s="33">
        <v>1</v>
      </c>
      <c r="V41" s="33">
        <v>7.1617708333333301</v>
      </c>
      <c r="W41" s="33">
        <v>56</v>
      </c>
      <c r="X41" s="33">
        <v>6.75</v>
      </c>
      <c r="Y41" s="33">
        <v>6.75</v>
      </c>
      <c r="Z41" s="33">
        <v>0</v>
      </c>
      <c r="AA41" s="33">
        <v>1</v>
      </c>
      <c r="AC41" s="29"/>
    </row>
    <row r="42" spans="1:29" x14ac:dyDescent="0.25">
      <c r="A42" s="27" t="s">
        <v>252</v>
      </c>
      <c r="B42" s="27" t="s">
        <v>14</v>
      </c>
      <c r="C42" s="27" t="s">
        <v>15</v>
      </c>
      <c r="D42" s="27" t="s">
        <v>154</v>
      </c>
      <c r="E42" s="27" t="s">
        <v>21</v>
      </c>
      <c r="F42" s="27" t="s">
        <v>506</v>
      </c>
      <c r="G42" s="27" t="s">
        <v>510</v>
      </c>
      <c r="H42" s="27" t="s">
        <v>513</v>
      </c>
      <c r="I42" s="27" t="s">
        <v>516</v>
      </c>
      <c r="J42" s="27" t="s">
        <v>516</v>
      </c>
      <c r="K42" s="27" t="s">
        <v>529</v>
      </c>
      <c r="L42" s="27" t="s">
        <v>539</v>
      </c>
      <c r="M42" s="30">
        <v>42101</v>
      </c>
      <c r="N42" s="30"/>
      <c r="O42" s="30"/>
      <c r="P42" s="27" t="s">
        <v>98</v>
      </c>
      <c r="Q42" s="32">
        <v>1</v>
      </c>
      <c r="R42" s="32">
        <v>141.29230324074101</v>
      </c>
      <c r="S42" s="32">
        <v>141.29230324074101</v>
      </c>
      <c r="T42" s="32">
        <v>0</v>
      </c>
      <c r="U42" s="32">
        <v>1</v>
      </c>
      <c r="V42" s="32">
        <v>15.4368634259259</v>
      </c>
      <c r="W42" s="32">
        <v>140</v>
      </c>
      <c r="X42" s="32">
        <v>14</v>
      </c>
      <c r="Y42" s="32">
        <v>14</v>
      </c>
      <c r="Z42" s="32">
        <v>0</v>
      </c>
      <c r="AA42" s="32">
        <v>1</v>
      </c>
      <c r="AC42" s="29"/>
    </row>
    <row r="43" spans="1:29" x14ac:dyDescent="0.25">
      <c r="A43" s="28" t="s">
        <v>253</v>
      </c>
      <c r="B43" s="28" t="s">
        <v>19</v>
      </c>
      <c r="C43" s="28" t="s">
        <v>13</v>
      </c>
      <c r="D43" s="28" t="s">
        <v>75</v>
      </c>
      <c r="E43" s="28" t="s">
        <v>28</v>
      </c>
      <c r="F43" s="28" t="s">
        <v>505</v>
      </c>
      <c r="G43" s="28" t="s">
        <v>509</v>
      </c>
      <c r="H43" s="28" t="s">
        <v>513</v>
      </c>
      <c r="I43" s="28" t="s">
        <v>517</v>
      </c>
      <c r="J43" s="28" t="s">
        <v>522</v>
      </c>
      <c r="K43" s="28" t="s">
        <v>529</v>
      </c>
      <c r="L43" s="28" t="s">
        <v>539</v>
      </c>
      <c r="M43" s="31">
        <v>42103</v>
      </c>
      <c r="N43" s="31">
        <v>42103</v>
      </c>
      <c r="O43" s="31">
        <v>42124</v>
      </c>
      <c r="P43" s="28" t="s">
        <v>114</v>
      </c>
      <c r="Q43" s="33">
        <v>1</v>
      </c>
      <c r="R43" s="33">
        <v>32.052048611111097</v>
      </c>
      <c r="S43" s="33">
        <v>32.052048611111097</v>
      </c>
      <c r="T43" s="33">
        <v>1</v>
      </c>
      <c r="U43" s="33">
        <v>1</v>
      </c>
      <c r="V43" s="33">
        <v>32.051122685185199</v>
      </c>
      <c r="W43" s="33">
        <v>45</v>
      </c>
      <c r="X43" s="33">
        <v>20</v>
      </c>
      <c r="Y43" s="33">
        <v>0</v>
      </c>
      <c r="Z43" s="33">
        <v>20</v>
      </c>
      <c r="AA43" s="33">
        <v>1</v>
      </c>
      <c r="AC43" s="29"/>
    </row>
    <row r="44" spans="1:29" x14ac:dyDescent="0.25">
      <c r="A44" s="27" t="s">
        <v>254</v>
      </c>
      <c r="B44" s="27" t="s">
        <v>19</v>
      </c>
      <c r="C44" s="27" t="s">
        <v>13</v>
      </c>
      <c r="D44" s="27" t="s">
        <v>75</v>
      </c>
      <c r="E44" s="27" t="s">
        <v>28</v>
      </c>
      <c r="F44" s="27" t="s">
        <v>505</v>
      </c>
      <c r="G44" s="27" t="s">
        <v>509</v>
      </c>
      <c r="H44" s="27" t="s">
        <v>513</v>
      </c>
      <c r="I44" s="27" t="s">
        <v>517</v>
      </c>
      <c r="J44" s="27" t="s">
        <v>520</v>
      </c>
      <c r="K44" s="27" t="s">
        <v>529</v>
      </c>
      <c r="L44" s="27" t="s">
        <v>539</v>
      </c>
      <c r="M44" s="30">
        <v>42108</v>
      </c>
      <c r="N44" s="30">
        <v>42108</v>
      </c>
      <c r="O44" s="30">
        <v>42123</v>
      </c>
      <c r="P44" s="27" t="s">
        <v>98</v>
      </c>
      <c r="Q44" s="32">
        <v>1</v>
      </c>
      <c r="R44" s="32">
        <v>42.100810185185203</v>
      </c>
      <c r="S44" s="32">
        <v>42.100810185185203</v>
      </c>
      <c r="T44" s="32">
        <v>1</v>
      </c>
      <c r="U44" s="32">
        <v>1</v>
      </c>
      <c r="V44" s="32">
        <v>33.802060185185198</v>
      </c>
      <c r="W44" s="32">
        <v>45</v>
      </c>
      <c r="X44" s="32">
        <v>20</v>
      </c>
      <c r="Y44" s="32">
        <v>0</v>
      </c>
      <c r="Z44" s="32">
        <v>20</v>
      </c>
      <c r="AA44" s="32">
        <v>1</v>
      </c>
      <c r="AC44" s="29"/>
    </row>
    <row r="45" spans="1:29" x14ac:dyDescent="0.25">
      <c r="A45" s="28" t="s">
        <v>255</v>
      </c>
      <c r="B45" s="28" t="s">
        <v>14</v>
      </c>
      <c r="C45" s="28" t="s">
        <v>13</v>
      </c>
      <c r="D45" s="28" t="s">
        <v>154</v>
      </c>
      <c r="E45" s="28" t="s">
        <v>21</v>
      </c>
      <c r="F45" s="28" t="s">
        <v>506</v>
      </c>
      <c r="G45" s="28" t="s">
        <v>510</v>
      </c>
      <c r="H45" s="28" t="s">
        <v>513</v>
      </c>
      <c r="I45" s="28" t="s">
        <v>517</v>
      </c>
      <c r="J45" s="28" t="s">
        <v>523</v>
      </c>
      <c r="K45" s="28" t="s">
        <v>529</v>
      </c>
      <c r="L45" s="28" t="s">
        <v>539</v>
      </c>
      <c r="M45" s="31">
        <v>42109</v>
      </c>
      <c r="N45" s="31">
        <v>42111</v>
      </c>
      <c r="O45" s="31">
        <v>42116</v>
      </c>
      <c r="P45" s="28" t="s">
        <v>98</v>
      </c>
      <c r="Q45" s="33">
        <v>1</v>
      </c>
      <c r="R45" s="33">
        <v>28.0879166666667</v>
      </c>
      <c r="S45" s="33">
        <v>28.0879166666667</v>
      </c>
      <c r="T45" s="33">
        <v>1</v>
      </c>
      <c r="U45" s="33">
        <v>1</v>
      </c>
      <c r="V45" s="33">
        <v>11.803495370370401</v>
      </c>
      <c r="W45" s="33">
        <v>56</v>
      </c>
      <c r="X45" s="33">
        <v>32.5</v>
      </c>
      <c r="Y45" s="33">
        <v>24.5</v>
      </c>
      <c r="Z45" s="33">
        <v>8</v>
      </c>
      <c r="AA45" s="33">
        <v>1</v>
      </c>
      <c r="AC45" s="29"/>
    </row>
    <row r="46" spans="1:29" x14ac:dyDescent="0.25">
      <c r="A46" s="27" t="s">
        <v>256</v>
      </c>
      <c r="B46" s="27" t="s">
        <v>14</v>
      </c>
      <c r="C46" s="27" t="s">
        <v>13</v>
      </c>
      <c r="D46" s="27" t="s">
        <v>154</v>
      </c>
      <c r="E46" s="27" t="s">
        <v>21</v>
      </c>
      <c r="F46" s="27" t="s">
        <v>505</v>
      </c>
      <c r="G46" s="27" t="s">
        <v>509</v>
      </c>
      <c r="H46" s="27" t="s">
        <v>513</v>
      </c>
      <c r="I46" s="27" t="s">
        <v>517</v>
      </c>
      <c r="J46" s="27" t="s">
        <v>522</v>
      </c>
      <c r="K46" s="27" t="s">
        <v>529</v>
      </c>
      <c r="L46" s="27" t="s">
        <v>539</v>
      </c>
      <c r="M46" s="30">
        <v>42109</v>
      </c>
      <c r="N46" s="30">
        <v>42114</v>
      </c>
      <c r="O46" s="30">
        <v>42115</v>
      </c>
      <c r="P46" s="27" t="s">
        <v>98</v>
      </c>
      <c r="Q46" s="32">
        <v>1</v>
      </c>
      <c r="R46" s="32">
        <v>26.795462962963001</v>
      </c>
      <c r="S46" s="32">
        <v>26.795462962963001</v>
      </c>
      <c r="T46" s="32">
        <v>1</v>
      </c>
      <c r="U46" s="32">
        <v>1</v>
      </c>
      <c r="V46" s="32">
        <v>6.7925694444444398</v>
      </c>
      <c r="W46" s="32">
        <v>56</v>
      </c>
      <c r="X46" s="32">
        <v>16.5</v>
      </c>
      <c r="Y46" s="32">
        <v>8.5</v>
      </c>
      <c r="Z46" s="32">
        <v>8</v>
      </c>
      <c r="AA46" s="32">
        <v>1</v>
      </c>
      <c r="AC46" s="29"/>
    </row>
    <row r="47" spans="1:29" x14ac:dyDescent="0.25">
      <c r="A47" s="28" t="s">
        <v>257</v>
      </c>
      <c r="B47" s="28" t="s">
        <v>14</v>
      </c>
      <c r="C47" s="28" t="s">
        <v>15</v>
      </c>
      <c r="D47" s="28" t="s">
        <v>154</v>
      </c>
      <c r="E47" s="28" t="s">
        <v>21</v>
      </c>
      <c r="F47" s="28" t="s">
        <v>505</v>
      </c>
      <c r="G47" s="28" t="s">
        <v>509</v>
      </c>
      <c r="H47" s="28" t="s">
        <v>513</v>
      </c>
      <c r="I47" s="28" t="s">
        <v>517</v>
      </c>
      <c r="J47" s="28" t="s">
        <v>520</v>
      </c>
      <c r="K47" s="28" t="s">
        <v>529</v>
      </c>
      <c r="L47" s="28" t="s">
        <v>539</v>
      </c>
      <c r="M47" s="31">
        <v>42111</v>
      </c>
      <c r="N47" s="31">
        <v>42111</v>
      </c>
      <c r="O47" s="31">
        <v>42116</v>
      </c>
      <c r="P47" s="28" t="s">
        <v>114</v>
      </c>
      <c r="Q47" s="33">
        <v>1</v>
      </c>
      <c r="R47" s="33">
        <v>25.075162037037</v>
      </c>
      <c r="S47" s="33">
        <v>25.075162037037</v>
      </c>
      <c r="T47" s="33">
        <v>1</v>
      </c>
      <c r="U47" s="33">
        <v>1</v>
      </c>
      <c r="V47" s="33">
        <v>5.1001273148148103</v>
      </c>
      <c r="W47" s="33">
        <v>140</v>
      </c>
      <c r="X47" s="33">
        <v>29.25</v>
      </c>
      <c r="Y47" s="33">
        <v>9.25</v>
      </c>
      <c r="Z47" s="33">
        <v>20</v>
      </c>
      <c r="AA47" s="33">
        <v>1</v>
      </c>
      <c r="AC47" s="29"/>
    </row>
    <row r="48" spans="1:29" x14ac:dyDescent="0.25">
      <c r="A48" s="27" t="s">
        <v>258</v>
      </c>
      <c r="B48" s="27" t="s">
        <v>14</v>
      </c>
      <c r="C48" s="27" t="s">
        <v>15</v>
      </c>
      <c r="D48" s="27" t="s">
        <v>154</v>
      </c>
      <c r="E48" s="27" t="s">
        <v>21</v>
      </c>
      <c r="F48" s="27" t="s">
        <v>506</v>
      </c>
      <c r="G48" s="27" t="s">
        <v>510</v>
      </c>
      <c r="H48" s="27" t="s">
        <v>513</v>
      </c>
      <c r="I48" s="27" t="s">
        <v>516</v>
      </c>
      <c r="J48" s="27" t="s">
        <v>516</v>
      </c>
      <c r="K48" s="27" t="s">
        <v>529</v>
      </c>
      <c r="L48" s="27" t="s">
        <v>539</v>
      </c>
      <c r="M48" s="30">
        <v>42113</v>
      </c>
      <c r="N48" s="30"/>
      <c r="O48" s="30"/>
      <c r="P48" s="27" t="s">
        <v>98</v>
      </c>
      <c r="Q48" s="32">
        <v>1</v>
      </c>
      <c r="R48" s="32">
        <v>79.357013888888901</v>
      </c>
      <c r="S48" s="32">
        <v>79.361307870370396</v>
      </c>
      <c r="T48" s="32">
        <v>0</v>
      </c>
      <c r="U48" s="32">
        <v>1</v>
      </c>
      <c r="V48" s="32">
        <v>52.490196759259298</v>
      </c>
      <c r="W48" s="32">
        <v>140</v>
      </c>
      <c r="X48" s="32">
        <v>10</v>
      </c>
      <c r="Y48" s="32">
        <v>10</v>
      </c>
      <c r="Z48" s="32">
        <v>0</v>
      </c>
      <c r="AA48" s="32">
        <v>1</v>
      </c>
      <c r="AC48" s="29"/>
    </row>
    <row r="49" spans="1:29" x14ac:dyDescent="0.25">
      <c r="A49" s="28" t="s">
        <v>259</v>
      </c>
      <c r="B49" s="28" t="s">
        <v>19</v>
      </c>
      <c r="C49" s="28" t="s">
        <v>13</v>
      </c>
      <c r="D49" s="28" t="s">
        <v>501</v>
      </c>
      <c r="E49" s="28" t="s">
        <v>22</v>
      </c>
      <c r="F49" s="28" t="s">
        <v>505</v>
      </c>
      <c r="G49" s="28" t="s">
        <v>509</v>
      </c>
      <c r="H49" s="28" t="s">
        <v>513</v>
      </c>
      <c r="I49" s="28" t="s">
        <v>517</v>
      </c>
      <c r="J49" s="28" t="s">
        <v>520</v>
      </c>
      <c r="K49" s="28" t="s">
        <v>529</v>
      </c>
      <c r="L49" s="28" t="s">
        <v>539</v>
      </c>
      <c r="M49" s="31">
        <v>42116</v>
      </c>
      <c r="N49" s="31">
        <v>42118</v>
      </c>
      <c r="O49" s="31">
        <v>42130</v>
      </c>
      <c r="P49" s="28" t="s">
        <v>102</v>
      </c>
      <c r="Q49" s="33">
        <v>1</v>
      </c>
      <c r="R49" s="33">
        <v>36.148101851851898</v>
      </c>
      <c r="S49" s="33">
        <v>400.93469907407399</v>
      </c>
      <c r="T49" s="33">
        <v>1</v>
      </c>
      <c r="U49" s="33">
        <v>1</v>
      </c>
      <c r="V49" s="33">
        <v>36.1451157407407</v>
      </c>
      <c r="W49" s="33">
        <v>40</v>
      </c>
      <c r="X49" s="33">
        <v>20</v>
      </c>
      <c r="Y49" s="33">
        <v>0</v>
      </c>
      <c r="Z49" s="33">
        <v>20</v>
      </c>
      <c r="AA49" s="33">
        <v>1</v>
      </c>
      <c r="AC49" s="29"/>
    </row>
    <row r="50" spans="1:29" x14ac:dyDescent="0.25">
      <c r="A50" s="27" t="s">
        <v>260</v>
      </c>
      <c r="B50" s="27" t="s">
        <v>14</v>
      </c>
      <c r="C50" s="27" t="s">
        <v>15</v>
      </c>
      <c r="D50" s="27" t="s">
        <v>154</v>
      </c>
      <c r="E50" s="27" t="s">
        <v>21</v>
      </c>
      <c r="F50" s="27" t="s">
        <v>505</v>
      </c>
      <c r="G50" s="27" t="s">
        <v>509</v>
      </c>
      <c r="H50" s="27" t="s">
        <v>513</v>
      </c>
      <c r="I50" s="27" t="s">
        <v>517</v>
      </c>
      <c r="J50" s="27" t="s">
        <v>522</v>
      </c>
      <c r="K50" s="27" t="s">
        <v>529</v>
      </c>
      <c r="L50" s="27" t="s">
        <v>539</v>
      </c>
      <c r="M50" s="30">
        <v>42121</v>
      </c>
      <c r="N50" s="30">
        <v>42121</v>
      </c>
      <c r="O50" s="30">
        <v>42165</v>
      </c>
      <c r="P50" s="27" t="s">
        <v>113</v>
      </c>
      <c r="Q50" s="32">
        <v>1</v>
      </c>
      <c r="R50" s="32">
        <v>94.653009259259306</v>
      </c>
      <c r="S50" s="32">
        <v>94.653009259259306</v>
      </c>
      <c r="T50" s="32">
        <v>0</v>
      </c>
      <c r="U50" s="32">
        <v>1</v>
      </c>
      <c r="V50" s="32">
        <v>44.467812500000001</v>
      </c>
      <c r="W50" s="32">
        <v>140</v>
      </c>
      <c r="X50" s="32">
        <v>24.5</v>
      </c>
      <c r="Y50" s="32">
        <v>12.5</v>
      </c>
      <c r="Z50" s="32">
        <v>12</v>
      </c>
      <c r="AA50" s="32">
        <v>1</v>
      </c>
      <c r="AC50" s="29"/>
    </row>
    <row r="51" spans="1:29" x14ac:dyDescent="0.25">
      <c r="A51" s="28" t="s">
        <v>261</v>
      </c>
      <c r="B51" s="28" t="s">
        <v>19</v>
      </c>
      <c r="C51" s="28" t="s">
        <v>16</v>
      </c>
      <c r="D51" s="28" t="s">
        <v>501</v>
      </c>
      <c r="E51" s="28" t="s">
        <v>22</v>
      </c>
      <c r="F51" s="28" t="s">
        <v>505</v>
      </c>
      <c r="G51" s="28" t="s">
        <v>509</v>
      </c>
      <c r="H51" s="28" t="s">
        <v>513</v>
      </c>
      <c r="I51" s="28" t="s">
        <v>517</v>
      </c>
      <c r="J51" s="28" t="s">
        <v>520</v>
      </c>
      <c r="K51" s="28" t="s">
        <v>529</v>
      </c>
      <c r="L51" s="28" t="s">
        <v>539</v>
      </c>
      <c r="M51" s="31">
        <v>42123</v>
      </c>
      <c r="N51" s="31">
        <v>42123</v>
      </c>
      <c r="O51" s="31">
        <v>42124</v>
      </c>
      <c r="P51" s="28" t="s">
        <v>101</v>
      </c>
      <c r="Q51" s="33">
        <v>1</v>
      </c>
      <c r="R51" s="33">
        <v>13.317835648148201</v>
      </c>
      <c r="S51" s="33">
        <v>13.317835648148201</v>
      </c>
      <c r="T51" s="33">
        <v>0</v>
      </c>
      <c r="U51" s="33">
        <v>1</v>
      </c>
      <c r="V51" s="33">
        <v>13.3172569444444</v>
      </c>
      <c r="W51" s="33">
        <v>14</v>
      </c>
      <c r="X51" s="33">
        <v>0.5</v>
      </c>
      <c r="Y51" s="33">
        <v>0.5</v>
      </c>
      <c r="Z51" s="33">
        <v>0</v>
      </c>
      <c r="AA51" s="33">
        <v>1</v>
      </c>
      <c r="AC51" s="29"/>
    </row>
    <row r="52" spans="1:29" x14ac:dyDescent="0.25">
      <c r="A52" s="27" t="s">
        <v>262</v>
      </c>
      <c r="B52" s="27" t="s">
        <v>14</v>
      </c>
      <c r="C52" s="27" t="s">
        <v>13</v>
      </c>
      <c r="D52" s="27" t="s">
        <v>154</v>
      </c>
      <c r="E52" s="27" t="s">
        <v>21</v>
      </c>
      <c r="F52" s="27" t="s">
        <v>506</v>
      </c>
      <c r="G52" s="27" t="s">
        <v>510</v>
      </c>
      <c r="H52" s="27" t="s">
        <v>513</v>
      </c>
      <c r="I52" s="27" t="s">
        <v>517</v>
      </c>
      <c r="J52" s="27" t="s">
        <v>523</v>
      </c>
      <c r="K52" s="27" t="s">
        <v>529</v>
      </c>
      <c r="L52" s="27" t="s">
        <v>539</v>
      </c>
      <c r="M52" s="30">
        <v>42123</v>
      </c>
      <c r="N52" s="30">
        <v>42123</v>
      </c>
      <c r="O52" s="30">
        <v>42137</v>
      </c>
      <c r="P52" s="27" t="s">
        <v>98</v>
      </c>
      <c r="Q52" s="32">
        <v>1</v>
      </c>
      <c r="R52" s="32">
        <v>14.320462962962999</v>
      </c>
      <c r="S52" s="32">
        <v>14.320717592592599</v>
      </c>
      <c r="T52" s="32">
        <v>1</v>
      </c>
      <c r="U52" s="32">
        <v>1</v>
      </c>
      <c r="V52" s="32">
        <v>14.3181481481482</v>
      </c>
      <c r="W52" s="32">
        <v>56</v>
      </c>
      <c r="X52" s="32">
        <v>22</v>
      </c>
      <c r="Y52" s="32">
        <v>2</v>
      </c>
      <c r="Z52" s="32">
        <v>20</v>
      </c>
      <c r="AA52" s="32">
        <v>1</v>
      </c>
      <c r="AC52" s="29"/>
    </row>
    <row r="53" spans="1:29" x14ac:dyDescent="0.25">
      <c r="A53" s="28" t="s">
        <v>263</v>
      </c>
      <c r="B53" s="28" t="s">
        <v>18</v>
      </c>
      <c r="C53" s="28" t="s">
        <v>15</v>
      </c>
      <c r="D53" s="28" t="s">
        <v>154</v>
      </c>
      <c r="E53" s="28" t="s">
        <v>21</v>
      </c>
      <c r="F53" s="28" t="s">
        <v>505</v>
      </c>
      <c r="G53" s="28" t="s">
        <v>509</v>
      </c>
      <c r="H53" s="28" t="s">
        <v>513</v>
      </c>
      <c r="I53" s="28" t="s">
        <v>516</v>
      </c>
      <c r="J53" s="28" t="s">
        <v>516</v>
      </c>
      <c r="K53" s="28" t="s">
        <v>529</v>
      </c>
      <c r="L53" s="28" t="s">
        <v>539</v>
      </c>
      <c r="M53" s="31">
        <v>42129</v>
      </c>
      <c r="N53" s="31"/>
      <c r="O53" s="31"/>
      <c r="P53" s="28" t="s">
        <v>101</v>
      </c>
      <c r="Q53" s="33">
        <v>1</v>
      </c>
      <c r="R53" s="33">
        <v>3.0939120370370401</v>
      </c>
      <c r="S53" s="33">
        <v>3.09420138888889</v>
      </c>
      <c r="T53" s="33">
        <v>0</v>
      </c>
      <c r="U53" s="33">
        <v>1</v>
      </c>
      <c r="V53" s="33">
        <v>3.09163194444444</v>
      </c>
      <c r="W53" s="33">
        <v>140</v>
      </c>
      <c r="X53" s="33">
        <v>7</v>
      </c>
      <c r="Y53" s="33">
        <v>7</v>
      </c>
      <c r="Z53" s="33">
        <v>0</v>
      </c>
      <c r="AA53" s="33">
        <v>1</v>
      </c>
      <c r="AC53" s="29"/>
    </row>
    <row r="54" spans="1:29" x14ac:dyDescent="0.25">
      <c r="A54" s="27" t="s">
        <v>264</v>
      </c>
      <c r="B54" s="27" t="s">
        <v>498</v>
      </c>
      <c r="C54" s="27" t="s">
        <v>13</v>
      </c>
      <c r="D54" s="27" t="s">
        <v>154</v>
      </c>
      <c r="E54" s="27" t="s">
        <v>21</v>
      </c>
      <c r="F54" s="27" t="s">
        <v>505</v>
      </c>
      <c r="G54" s="27" t="s">
        <v>509</v>
      </c>
      <c r="H54" s="27" t="s">
        <v>513</v>
      </c>
      <c r="I54" s="27" t="s">
        <v>517</v>
      </c>
      <c r="J54" s="27" t="s">
        <v>520</v>
      </c>
      <c r="K54" s="27" t="s">
        <v>529</v>
      </c>
      <c r="L54" s="27" t="s">
        <v>539</v>
      </c>
      <c r="M54" s="30">
        <v>42135</v>
      </c>
      <c r="N54" s="30">
        <v>42135</v>
      </c>
      <c r="O54" s="30">
        <v>42157</v>
      </c>
      <c r="P54" s="27" t="s">
        <v>98</v>
      </c>
      <c r="Q54" s="32">
        <v>1</v>
      </c>
      <c r="R54" s="32">
        <v>30.439444444444401</v>
      </c>
      <c r="S54" s="32">
        <v>30.439444444444401</v>
      </c>
      <c r="T54" s="32">
        <v>1</v>
      </c>
      <c r="U54" s="32">
        <v>1</v>
      </c>
      <c r="V54" s="32">
        <v>30.438576388888901</v>
      </c>
      <c r="W54" s="32">
        <v>56</v>
      </c>
      <c r="X54" s="32">
        <v>24.5</v>
      </c>
      <c r="Y54" s="32">
        <v>4.5</v>
      </c>
      <c r="Z54" s="32">
        <v>20</v>
      </c>
      <c r="AA54" s="32">
        <v>1</v>
      </c>
      <c r="AC54" s="29"/>
    </row>
    <row r="55" spans="1:29" x14ac:dyDescent="0.25">
      <c r="A55" s="28" t="s">
        <v>265</v>
      </c>
      <c r="B55" s="28" t="s">
        <v>19</v>
      </c>
      <c r="C55" s="28" t="s">
        <v>13</v>
      </c>
      <c r="D55" s="28" t="s">
        <v>75</v>
      </c>
      <c r="E55" s="28" t="s">
        <v>28</v>
      </c>
      <c r="F55" s="28" t="s">
        <v>506</v>
      </c>
      <c r="G55" s="28" t="s">
        <v>510</v>
      </c>
      <c r="H55" s="28" t="s">
        <v>513</v>
      </c>
      <c r="I55" s="28" t="s">
        <v>517</v>
      </c>
      <c r="J55" s="28" t="s">
        <v>523</v>
      </c>
      <c r="K55" s="28" t="s">
        <v>529</v>
      </c>
      <c r="L55" s="28" t="s">
        <v>539</v>
      </c>
      <c r="M55" s="31">
        <v>42144</v>
      </c>
      <c r="N55" s="31">
        <v>42144</v>
      </c>
      <c r="O55" s="31">
        <v>42150</v>
      </c>
      <c r="P55" s="28" t="s">
        <v>102</v>
      </c>
      <c r="Q55" s="33">
        <v>1</v>
      </c>
      <c r="R55" s="33">
        <v>14.858680555555599</v>
      </c>
      <c r="S55" s="33">
        <v>14.858680555555599</v>
      </c>
      <c r="T55" s="33">
        <v>1</v>
      </c>
      <c r="U55" s="33">
        <v>1</v>
      </c>
      <c r="V55" s="33">
        <v>14.858020833333301</v>
      </c>
      <c r="W55" s="33">
        <v>45</v>
      </c>
      <c r="X55" s="33">
        <v>16</v>
      </c>
      <c r="Y55" s="33">
        <v>0</v>
      </c>
      <c r="Z55" s="33">
        <v>16</v>
      </c>
      <c r="AA55" s="33">
        <v>1</v>
      </c>
      <c r="AC55" s="29"/>
    </row>
    <row r="56" spans="1:29" x14ac:dyDescent="0.25">
      <c r="A56" s="27" t="s">
        <v>266</v>
      </c>
      <c r="B56" s="27" t="s">
        <v>14</v>
      </c>
      <c r="C56" s="27" t="s">
        <v>15</v>
      </c>
      <c r="D56" s="27" t="s">
        <v>154</v>
      </c>
      <c r="E56" s="27" t="s">
        <v>21</v>
      </c>
      <c r="F56" s="27" t="s">
        <v>506</v>
      </c>
      <c r="G56" s="27" t="s">
        <v>510</v>
      </c>
      <c r="H56" s="27" t="s">
        <v>513</v>
      </c>
      <c r="I56" s="27" t="s">
        <v>517</v>
      </c>
      <c r="J56" s="27" t="s">
        <v>523</v>
      </c>
      <c r="K56" s="27" t="s">
        <v>529</v>
      </c>
      <c r="L56" s="27" t="s">
        <v>539</v>
      </c>
      <c r="M56" s="30">
        <v>42144</v>
      </c>
      <c r="N56" s="30">
        <v>42145</v>
      </c>
      <c r="O56" s="30">
        <v>42165</v>
      </c>
      <c r="P56" s="27" t="s">
        <v>102</v>
      </c>
      <c r="Q56" s="32">
        <v>1</v>
      </c>
      <c r="R56" s="32">
        <v>30.012731481481499</v>
      </c>
      <c r="S56" s="32">
        <v>60.909259259259301</v>
      </c>
      <c r="T56" s="32">
        <v>1</v>
      </c>
      <c r="U56" s="32">
        <v>1</v>
      </c>
      <c r="V56" s="32">
        <v>30.012025462962999</v>
      </c>
      <c r="W56" s="32">
        <v>140</v>
      </c>
      <c r="X56" s="32">
        <v>18</v>
      </c>
      <c r="Y56" s="32">
        <v>2</v>
      </c>
      <c r="Z56" s="32">
        <v>16</v>
      </c>
      <c r="AA56" s="32">
        <v>1</v>
      </c>
      <c r="AC56" s="29"/>
    </row>
    <row r="57" spans="1:29" x14ac:dyDescent="0.25">
      <c r="A57" s="28" t="s">
        <v>267</v>
      </c>
      <c r="B57" s="28" t="s">
        <v>14</v>
      </c>
      <c r="C57" s="28" t="s">
        <v>16</v>
      </c>
      <c r="D57" s="28" t="s">
        <v>154</v>
      </c>
      <c r="E57" s="28" t="s">
        <v>21</v>
      </c>
      <c r="F57" s="28" t="s">
        <v>505</v>
      </c>
      <c r="G57" s="28" t="s">
        <v>509</v>
      </c>
      <c r="H57" s="28" t="s">
        <v>513</v>
      </c>
      <c r="I57" s="28" t="s">
        <v>516</v>
      </c>
      <c r="J57" s="28" t="s">
        <v>516</v>
      </c>
      <c r="K57" s="28" t="s">
        <v>529</v>
      </c>
      <c r="L57" s="28" t="s">
        <v>539</v>
      </c>
      <c r="M57" s="31">
        <v>42145</v>
      </c>
      <c r="N57" s="31"/>
      <c r="O57" s="31"/>
      <c r="P57" s="28" t="s">
        <v>98</v>
      </c>
      <c r="Q57" s="33">
        <v>1</v>
      </c>
      <c r="R57" s="33">
        <v>60.828414351851897</v>
      </c>
      <c r="S57" s="33">
        <v>60.828414351851897</v>
      </c>
      <c r="T57" s="33">
        <v>0</v>
      </c>
      <c r="U57" s="33">
        <v>1</v>
      </c>
      <c r="V57" s="33">
        <v>10.8129166666667</v>
      </c>
      <c r="W57" s="33">
        <v>28</v>
      </c>
      <c r="X57" s="33">
        <v>2.5</v>
      </c>
      <c r="Y57" s="33">
        <v>2.5</v>
      </c>
      <c r="Z57" s="33">
        <v>0</v>
      </c>
      <c r="AA57" s="33">
        <v>1</v>
      </c>
      <c r="AC57" s="29"/>
    </row>
    <row r="58" spans="1:29" x14ac:dyDescent="0.25">
      <c r="A58" s="27" t="s">
        <v>268</v>
      </c>
      <c r="B58" s="27" t="s">
        <v>14</v>
      </c>
      <c r="C58" s="27" t="s">
        <v>13</v>
      </c>
      <c r="D58" s="27" t="s">
        <v>154</v>
      </c>
      <c r="E58" s="27" t="s">
        <v>21</v>
      </c>
      <c r="F58" s="27" t="s">
        <v>506</v>
      </c>
      <c r="G58" s="27" t="s">
        <v>510</v>
      </c>
      <c r="H58" s="27" t="s">
        <v>513</v>
      </c>
      <c r="I58" s="27" t="s">
        <v>517</v>
      </c>
      <c r="J58" s="27" t="s">
        <v>523</v>
      </c>
      <c r="K58" s="27" t="s">
        <v>529</v>
      </c>
      <c r="L58" s="27" t="s">
        <v>539</v>
      </c>
      <c r="M58" s="30">
        <v>42152</v>
      </c>
      <c r="N58" s="30">
        <v>42156</v>
      </c>
      <c r="O58" s="30">
        <v>42160</v>
      </c>
      <c r="P58" s="27" t="s">
        <v>113</v>
      </c>
      <c r="Q58" s="32">
        <v>1</v>
      </c>
      <c r="R58" s="32">
        <v>40.136620370370402</v>
      </c>
      <c r="S58" s="32">
        <v>40.136620370370402</v>
      </c>
      <c r="T58" s="32">
        <v>1</v>
      </c>
      <c r="U58" s="32">
        <v>1</v>
      </c>
      <c r="V58" s="32">
        <v>8.0831250000000008</v>
      </c>
      <c r="W58" s="32">
        <v>56</v>
      </c>
      <c r="X58" s="32">
        <v>23</v>
      </c>
      <c r="Y58" s="32">
        <v>15</v>
      </c>
      <c r="Z58" s="32">
        <v>8</v>
      </c>
      <c r="AA58" s="32">
        <v>1</v>
      </c>
      <c r="AC58" s="29"/>
    </row>
    <row r="59" spans="1:29" x14ac:dyDescent="0.25">
      <c r="A59" s="28" t="s">
        <v>269</v>
      </c>
      <c r="B59" s="28" t="s">
        <v>14</v>
      </c>
      <c r="C59" s="28" t="s">
        <v>13</v>
      </c>
      <c r="D59" s="28" t="s">
        <v>154</v>
      </c>
      <c r="E59" s="28" t="s">
        <v>21</v>
      </c>
      <c r="F59" s="28" t="s">
        <v>506</v>
      </c>
      <c r="G59" s="28" t="s">
        <v>510</v>
      </c>
      <c r="H59" s="28" t="s">
        <v>513</v>
      </c>
      <c r="I59" s="28" t="s">
        <v>517</v>
      </c>
      <c r="J59" s="28" t="s">
        <v>520</v>
      </c>
      <c r="K59" s="28" t="s">
        <v>529</v>
      </c>
      <c r="L59" s="28" t="s">
        <v>539</v>
      </c>
      <c r="M59" s="31">
        <v>42156</v>
      </c>
      <c r="N59" s="31">
        <v>42156</v>
      </c>
      <c r="O59" s="31">
        <v>42167</v>
      </c>
      <c r="P59" s="28" t="s">
        <v>110</v>
      </c>
      <c r="Q59" s="33">
        <v>1</v>
      </c>
      <c r="R59" s="33">
        <v>15.3609953703704</v>
      </c>
      <c r="S59" s="33">
        <v>36.280324074074102</v>
      </c>
      <c r="T59" s="33">
        <v>1</v>
      </c>
      <c r="U59" s="33">
        <v>1</v>
      </c>
      <c r="V59" s="33">
        <v>15.360335648148199</v>
      </c>
      <c r="W59" s="33">
        <v>56</v>
      </c>
      <c r="X59" s="33">
        <v>21.5</v>
      </c>
      <c r="Y59" s="33">
        <v>1.5</v>
      </c>
      <c r="Z59" s="33">
        <v>20</v>
      </c>
      <c r="AA59" s="33">
        <v>1</v>
      </c>
      <c r="AC59" s="29"/>
    </row>
    <row r="60" spans="1:29" x14ac:dyDescent="0.25">
      <c r="A60" s="27" t="s">
        <v>270</v>
      </c>
      <c r="B60" s="27" t="s">
        <v>14</v>
      </c>
      <c r="C60" s="27" t="s">
        <v>13</v>
      </c>
      <c r="D60" s="27" t="s">
        <v>154</v>
      </c>
      <c r="E60" s="27" t="s">
        <v>21</v>
      </c>
      <c r="F60" s="27" t="s">
        <v>506</v>
      </c>
      <c r="G60" s="27" t="s">
        <v>510</v>
      </c>
      <c r="H60" s="27" t="s">
        <v>513</v>
      </c>
      <c r="I60" s="27" t="s">
        <v>517</v>
      </c>
      <c r="J60" s="27" t="s">
        <v>523</v>
      </c>
      <c r="K60" s="27" t="s">
        <v>529</v>
      </c>
      <c r="L60" s="27" t="s">
        <v>539</v>
      </c>
      <c r="M60" s="30">
        <v>42156</v>
      </c>
      <c r="N60" s="30">
        <v>42171</v>
      </c>
      <c r="O60" s="30">
        <v>42185</v>
      </c>
      <c r="P60" s="27" t="s">
        <v>113</v>
      </c>
      <c r="Q60" s="32">
        <v>1</v>
      </c>
      <c r="R60" s="32">
        <v>49.117280092592601</v>
      </c>
      <c r="S60" s="32">
        <v>49.117280092592601</v>
      </c>
      <c r="T60" s="32">
        <v>1</v>
      </c>
      <c r="U60" s="32">
        <v>1</v>
      </c>
      <c r="V60" s="32">
        <v>49.116469907407399</v>
      </c>
      <c r="W60" s="32">
        <v>56</v>
      </c>
      <c r="X60" s="32">
        <v>26.5</v>
      </c>
      <c r="Y60" s="32">
        <v>14.5</v>
      </c>
      <c r="Z60" s="32">
        <v>12</v>
      </c>
      <c r="AA60" s="32">
        <v>1</v>
      </c>
      <c r="AC60" s="29"/>
    </row>
    <row r="61" spans="1:29" x14ac:dyDescent="0.25">
      <c r="A61" s="28" t="s">
        <v>271</v>
      </c>
      <c r="B61" s="28" t="s">
        <v>14</v>
      </c>
      <c r="C61" s="28" t="s">
        <v>13</v>
      </c>
      <c r="D61" s="28" t="s">
        <v>154</v>
      </c>
      <c r="E61" s="28" t="s">
        <v>21</v>
      </c>
      <c r="F61" s="28" t="s">
        <v>506</v>
      </c>
      <c r="G61" s="28" t="s">
        <v>510</v>
      </c>
      <c r="H61" s="28" t="s">
        <v>513</v>
      </c>
      <c r="I61" s="28" t="s">
        <v>517</v>
      </c>
      <c r="J61" s="28" t="s">
        <v>523</v>
      </c>
      <c r="K61" s="28" t="s">
        <v>529</v>
      </c>
      <c r="L61" s="28" t="s">
        <v>539</v>
      </c>
      <c r="M61" s="31">
        <v>42158</v>
      </c>
      <c r="N61" s="31">
        <v>42175</v>
      </c>
      <c r="O61" s="31">
        <v>42186</v>
      </c>
      <c r="P61" s="28" t="s">
        <v>99</v>
      </c>
      <c r="Q61" s="33">
        <v>1</v>
      </c>
      <c r="R61" s="33">
        <v>61.3570023148148</v>
      </c>
      <c r="S61" s="33">
        <v>61.3570023148148</v>
      </c>
      <c r="T61" s="33">
        <v>1</v>
      </c>
      <c r="U61" s="33">
        <v>1</v>
      </c>
      <c r="V61" s="33">
        <v>61.3557407407407</v>
      </c>
      <c r="W61" s="33">
        <v>56</v>
      </c>
      <c r="X61" s="33">
        <v>18</v>
      </c>
      <c r="Y61" s="33">
        <v>10</v>
      </c>
      <c r="Z61" s="33">
        <v>8</v>
      </c>
      <c r="AA61" s="33">
        <v>0</v>
      </c>
      <c r="AC61" s="29"/>
    </row>
    <row r="62" spans="1:29" x14ac:dyDescent="0.25">
      <c r="A62" s="27" t="s">
        <v>272</v>
      </c>
      <c r="B62" s="27" t="s">
        <v>19</v>
      </c>
      <c r="C62" s="27" t="s">
        <v>13</v>
      </c>
      <c r="D62" s="27" t="s">
        <v>154</v>
      </c>
      <c r="E62" s="27" t="s">
        <v>21</v>
      </c>
      <c r="F62" s="27" t="s">
        <v>506</v>
      </c>
      <c r="G62" s="27" t="s">
        <v>511</v>
      </c>
      <c r="H62" s="27" t="s">
        <v>513</v>
      </c>
      <c r="I62" s="27" t="s">
        <v>517</v>
      </c>
      <c r="J62" s="27" t="s">
        <v>522</v>
      </c>
      <c r="K62" s="27" t="s">
        <v>529</v>
      </c>
      <c r="L62" s="27" t="s">
        <v>539</v>
      </c>
      <c r="M62" s="30">
        <v>42158</v>
      </c>
      <c r="N62" s="30">
        <v>42158</v>
      </c>
      <c r="O62" s="30">
        <v>42165</v>
      </c>
      <c r="P62" s="27" t="s">
        <v>98</v>
      </c>
      <c r="Q62" s="32">
        <v>1</v>
      </c>
      <c r="R62" s="32">
        <v>41.8834490740741</v>
      </c>
      <c r="S62" s="32">
        <v>41.8834490740741</v>
      </c>
      <c r="T62" s="32">
        <v>1</v>
      </c>
      <c r="U62" s="32">
        <v>1</v>
      </c>
      <c r="V62" s="32">
        <v>33.2544212962963</v>
      </c>
      <c r="W62" s="32">
        <v>56</v>
      </c>
      <c r="X62" s="32">
        <v>20</v>
      </c>
      <c r="Y62" s="32">
        <v>0</v>
      </c>
      <c r="Z62" s="32">
        <v>20</v>
      </c>
      <c r="AA62" s="32">
        <v>1</v>
      </c>
      <c r="AC62" s="29"/>
    </row>
    <row r="63" spans="1:29" x14ac:dyDescent="0.25">
      <c r="A63" s="28" t="s">
        <v>273</v>
      </c>
      <c r="B63" s="28" t="s">
        <v>14</v>
      </c>
      <c r="C63" s="28" t="s">
        <v>13</v>
      </c>
      <c r="D63" s="28" t="s">
        <v>154</v>
      </c>
      <c r="E63" s="28" t="s">
        <v>21</v>
      </c>
      <c r="F63" s="28" t="s">
        <v>506</v>
      </c>
      <c r="G63" s="28" t="s">
        <v>510</v>
      </c>
      <c r="H63" s="28" t="s">
        <v>513</v>
      </c>
      <c r="I63" s="28" t="s">
        <v>517</v>
      </c>
      <c r="J63" s="28" t="s">
        <v>523</v>
      </c>
      <c r="K63" s="28" t="s">
        <v>532</v>
      </c>
      <c r="L63" s="28" t="s">
        <v>539</v>
      </c>
      <c r="M63" s="31">
        <v>42158</v>
      </c>
      <c r="N63" s="31">
        <v>42158</v>
      </c>
      <c r="O63" s="31">
        <v>42174</v>
      </c>
      <c r="P63" s="28" t="s">
        <v>113</v>
      </c>
      <c r="Q63" s="33">
        <v>1</v>
      </c>
      <c r="R63" s="33">
        <v>47.764166666666704</v>
      </c>
      <c r="S63" s="33">
        <v>47.764166666666704</v>
      </c>
      <c r="T63" s="33">
        <v>1</v>
      </c>
      <c r="U63" s="33">
        <v>1</v>
      </c>
      <c r="V63" s="33">
        <v>15.8141319444444</v>
      </c>
      <c r="W63" s="33">
        <v>56</v>
      </c>
      <c r="X63" s="33">
        <v>25.5</v>
      </c>
      <c r="Y63" s="33">
        <v>5.5</v>
      </c>
      <c r="Z63" s="33">
        <v>20</v>
      </c>
      <c r="AA63" s="33">
        <v>1</v>
      </c>
      <c r="AC63" s="29"/>
    </row>
    <row r="64" spans="1:29" x14ac:dyDescent="0.25">
      <c r="A64" s="27" t="s">
        <v>274</v>
      </c>
      <c r="B64" s="27" t="s">
        <v>14</v>
      </c>
      <c r="C64" s="27" t="s">
        <v>13</v>
      </c>
      <c r="D64" s="27" t="s">
        <v>154</v>
      </c>
      <c r="E64" s="27" t="s">
        <v>21</v>
      </c>
      <c r="F64" s="27" t="s">
        <v>505</v>
      </c>
      <c r="G64" s="27" t="s">
        <v>509</v>
      </c>
      <c r="H64" s="27" t="s">
        <v>513</v>
      </c>
      <c r="I64" s="27" t="s">
        <v>517</v>
      </c>
      <c r="J64" s="27" t="s">
        <v>522</v>
      </c>
      <c r="K64" s="27" t="s">
        <v>529</v>
      </c>
      <c r="L64" s="27" t="s">
        <v>539</v>
      </c>
      <c r="M64" s="30">
        <v>42165</v>
      </c>
      <c r="N64" s="30">
        <v>42165</v>
      </c>
      <c r="O64" s="30">
        <v>42206</v>
      </c>
      <c r="P64" s="27" t="s">
        <v>113</v>
      </c>
      <c r="Q64" s="32">
        <v>1</v>
      </c>
      <c r="R64" s="32">
        <v>54.2099884259259</v>
      </c>
      <c r="S64" s="32">
        <v>54.2099884259259</v>
      </c>
      <c r="T64" s="32">
        <v>0</v>
      </c>
      <c r="U64" s="32">
        <v>1</v>
      </c>
      <c r="V64" s="32">
        <v>40.959305555555602</v>
      </c>
      <c r="W64" s="32">
        <v>56</v>
      </c>
      <c r="X64" s="32">
        <v>33</v>
      </c>
      <c r="Y64" s="32">
        <v>5</v>
      </c>
      <c r="Z64" s="32">
        <v>28</v>
      </c>
      <c r="AA64" s="32">
        <v>1</v>
      </c>
      <c r="AC64" s="29"/>
    </row>
    <row r="65" spans="1:29" x14ac:dyDescent="0.25">
      <c r="A65" s="28" t="s">
        <v>275</v>
      </c>
      <c r="B65" s="28" t="s">
        <v>14</v>
      </c>
      <c r="C65" s="28" t="s">
        <v>13</v>
      </c>
      <c r="D65" s="28" t="s">
        <v>154</v>
      </c>
      <c r="E65" s="28" t="s">
        <v>21</v>
      </c>
      <c r="F65" s="28" t="s">
        <v>505</v>
      </c>
      <c r="G65" s="28" t="s">
        <v>509</v>
      </c>
      <c r="H65" s="28" t="s">
        <v>513</v>
      </c>
      <c r="I65" s="28" t="s">
        <v>517</v>
      </c>
      <c r="J65" s="28" t="s">
        <v>522</v>
      </c>
      <c r="K65" s="28" t="s">
        <v>529</v>
      </c>
      <c r="L65" s="28" t="s">
        <v>539</v>
      </c>
      <c r="M65" s="31">
        <v>42165</v>
      </c>
      <c r="N65" s="31">
        <v>42165</v>
      </c>
      <c r="O65" s="31">
        <v>42173</v>
      </c>
      <c r="P65" s="28" t="s">
        <v>113</v>
      </c>
      <c r="Q65" s="33">
        <v>1</v>
      </c>
      <c r="R65" s="33">
        <v>35.003773148148099</v>
      </c>
      <c r="S65" s="33">
        <v>35.003773148148099</v>
      </c>
      <c r="T65" s="33">
        <v>1</v>
      </c>
      <c r="U65" s="33">
        <v>1</v>
      </c>
      <c r="V65" s="33">
        <v>13.1377199074074</v>
      </c>
      <c r="W65" s="33">
        <v>56</v>
      </c>
      <c r="X65" s="33">
        <v>21</v>
      </c>
      <c r="Y65" s="33">
        <v>5</v>
      </c>
      <c r="Z65" s="33">
        <v>16</v>
      </c>
      <c r="AA65" s="33">
        <v>1</v>
      </c>
      <c r="AC65" s="29"/>
    </row>
    <row r="66" spans="1:29" x14ac:dyDescent="0.25">
      <c r="A66" s="27" t="s">
        <v>276</v>
      </c>
      <c r="B66" s="27" t="s">
        <v>14</v>
      </c>
      <c r="C66" s="27" t="s">
        <v>16</v>
      </c>
      <c r="D66" s="27" t="s">
        <v>154</v>
      </c>
      <c r="E66" s="27" t="s">
        <v>21</v>
      </c>
      <c r="F66" s="27" t="s">
        <v>506</v>
      </c>
      <c r="G66" s="27" t="s">
        <v>511</v>
      </c>
      <c r="H66" s="27" t="s">
        <v>514</v>
      </c>
      <c r="I66" s="27" t="s">
        <v>517</v>
      </c>
      <c r="J66" s="27" t="s">
        <v>523</v>
      </c>
      <c r="K66" s="27" t="s">
        <v>529</v>
      </c>
      <c r="L66" s="27" t="s">
        <v>539</v>
      </c>
      <c r="M66" s="30">
        <v>42166</v>
      </c>
      <c r="N66" s="30">
        <v>42166</v>
      </c>
      <c r="O66" s="30">
        <v>42174</v>
      </c>
      <c r="P66" s="27" t="s">
        <v>117</v>
      </c>
      <c r="Q66" s="32">
        <v>1</v>
      </c>
      <c r="R66" s="32">
        <v>12.240474537037001</v>
      </c>
      <c r="S66" s="32">
        <v>12.240474537037001</v>
      </c>
      <c r="T66" s="32">
        <v>1</v>
      </c>
      <c r="U66" s="32">
        <v>1</v>
      </c>
      <c r="V66" s="32">
        <v>12.1990972222222</v>
      </c>
      <c r="W66" s="32">
        <v>28</v>
      </c>
      <c r="X66" s="32">
        <v>21.75</v>
      </c>
      <c r="Y66" s="32">
        <v>9.75</v>
      </c>
      <c r="Z66" s="32">
        <v>12</v>
      </c>
      <c r="AA66" s="32">
        <v>1</v>
      </c>
      <c r="AC66" s="29"/>
    </row>
    <row r="67" spans="1:29" x14ac:dyDescent="0.25">
      <c r="A67" s="28" t="s">
        <v>277</v>
      </c>
      <c r="B67" s="28" t="s">
        <v>19</v>
      </c>
      <c r="C67" s="28" t="s">
        <v>13</v>
      </c>
      <c r="D67" s="28" t="s">
        <v>502</v>
      </c>
      <c r="E67" s="28" t="s">
        <v>22</v>
      </c>
      <c r="F67" s="28" t="s">
        <v>506</v>
      </c>
      <c r="G67" s="28" t="s">
        <v>510</v>
      </c>
      <c r="H67" s="28" t="s">
        <v>513</v>
      </c>
      <c r="I67" s="28" t="s">
        <v>517</v>
      </c>
      <c r="J67" s="28" t="s">
        <v>520</v>
      </c>
      <c r="K67" s="28" t="s">
        <v>529</v>
      </c>
      <c r="L67" s="28" t="s">
        <v>539</v>
      </c>
      <c r="M67" s="31">
        <v>42170</v>
      </c>
      <c r="N67" s="31">
        <v>42171</v>
      </c>
      <c r="O67" s="31">
        <v>42179</v>
      </c>
      <c r="P67" s="28" t="s">
        <v>107</v>
      </c>
      <c r="Q67" s="33">
        <v>1</v>
      </c>
      <c r="R67" s="33">
        <v>31.6198726851852</v>
      </c>
      <c r="S67" s="33">
        <v>31.6198726851852</v>
      </c>
      <c r="T67" s="33">
        <v>1</v>
      </c>
      <c r="U67" s="33">
        <v>1</v>
      </c>
      <c r="V67" s="33">
        <v>29.0578009259259</v>
      </c>
      <c r="W67" s="33">
        <v>40</v>
      </c>
      <c r="X67" s="33">
        <v>16</v>
      </c>
      <c r="Y67" s="33">
        <v>0</v>
      </c>
      <c r="Z67" s="33">
        <v>16</v>
      </c>
      <c r="AA67" s="33">
        <v>1</v>
      </c>
      <c r="AC67" s="29"/>
    </row>
    <row r="68" spans="1:29" x14ac:dyDescent="0.25">
      <c r="A68" s="27" t="s">
        <v>278</v>
      </c>
      <c r="B68" s="27" t="s">
        <v>14</v>
      </c>
      <c r="C68" s="27" t="s">
        <v>16</v>
      </c>
      <c r="D68" s="27" t="s">
        <v>154</v>
      </c>
      <c r="E68" s="27" t="s">
        <v>21</v>
      </c>
      <c r="F68" s="27" t="s">
        <v>506</v>
      </c>
      <c r="G68" s="27" t="s">
        <v>510</v>
      </c>
      <c r="H68" s="27" t="s">
        <v>513</v>
      </c>
      <c r="I68" s="27" t="s">
        <v>516</v>
      </c>
      <c r="J68" s="27" t="s">
        <v>516</v>
      </c>
      <c r="K68" s="27" t="s">
        <v>529</v>
      </c>
      <c r="L68" s="27" t="s">
        <v>539</v>
      </c>
      <c r="M68" s="30">
        <v>42171</v>
      </c>
      <c r="N68" s="30"/>
      <c r="O68" s="30"/>
      <c r="P68" s="27" t="s">
        <v>110</v>
      </c>
      <c r="Q68" s="32">
        <v>1</v>
      </c>
      <c r="R68" s="32">
        <v>3.0568402777777801</v>
      </c>
      <c r="S68" s="32">
        <v>3.0568402777777801</v>
      </c>
      <c r="T68" s="32">
        <v>0</v>
      </c>
      <c r="U68" s="32">
        <v>1</v>
      </c>
      <c r="V68" s="32">
        <v>1.7009837962962999</v>
      </c>
      <c r="W68" s="32">
        <v>28</v>
      </c>
      <c r="X68" s="32">
        <v>7</v>
      </c>
      <c r="Y68" s="32">
        <v>7</v>
      </c>
      <c r="Z68" s="32">
        <v>0</v>
      </c>
      <c r="AA68" s="32">
        <v>1</v>
      </c>
      <c r="AC68" s="29"/>
    </row>
    <row r="69" spans="1:29" x14ac:dyDescent="0.25">
      <c r="A69" s="28" t="s">
        <v>279</v>
      </c>
      <c r="B69" s="28" t="s">
        <v>14</v>
      </c>
      <c r="C69" s="28" t="s">
        <v>15</v>
      </c>
      <c r="D69" s="28" t="s">
        <v>154</v>
      </c>
      <c r="E69" s="28" t="s">
        <v>21</v>
      </c>
      <c r="F69" s="28" t="s">
        <v>506</v>
      </c>
      <c r="G69" s="28" t="s">
        <v>510</v>
      </c>
      <c r="H69" s="28" t="s">
        <v>513</v>
      </c>
      <c r="I69" s="28" t="s">
        <v>516</v>
      </c>
      <c r="J69" s="28" t="s">
        <v>516</v>
      </c>
      <c r="K69" s="28" t="s">
        <v>529</v>
      </c>
      <c r="L69" s="28" t="s">
        <v>539</v>
      </c>
      <c r="M69" s="31">
        <v>42173</v>
      </c>
      <c r="N69" s="31"/>
      <c r="O69" s="31"/>
      <c r="P69" s="28" t="s">
        <v>102</v>
      </c>
      <c r="Q69" s="33">
        <v>1</v>
      </c>
      <c r="R69" s="33">
        <v>46.153159722222199</v>
      </c>
      <c r="S69" s="33">
        <v>46.153159722222199</v>
      </c>
      <c r="T69" s="33">
        <v>0</v>
      </c>
      <c r="U69" s="33">
        <v>1</v>
      </c>
      <c r="V69" s="33">
        <v>46.152037037036997</v>
      </c>
      <c r="W69" s="33">
        <v>140</v>
      </c>
      <c r="X69" s="33">
        <v>5.75</v>
      </c>
      <c r="Y69" s="33">
        <v>5.75</v>
      </c>
      <c r="Z69" s="33">
        <v>0</v>
      </c>
      <c r="AA69" s="33">
        <v>1</v>
      </c>
      <c r="AC69" s="29"/>
    </row>
    <row r="70" spans="1:29" x14ac:dyDescent="0.25">
      <c r="A70" s="27" t="s">
        <v>280</v>
      </c>
      <c r="B70" s="27" t="s">
        <v>14</v>
      </c>
      <c r="C70" s="27" t="s">
        <v>13</v>
      </c>
      <c r="D70" s="27" t="s">
        <v>154</v>
      </c>
      <c r="E70" s="27" t="s">
        <v>21</v>
      </c>
      <c r="F70" s="27" t="s">
        <v>505</v>
      </c>
      <c r="G70" s="27" t="s">
        <v>509</v>
      </c>
      <c r="H70" s="27" t="s">
        <v>513</v>
      </c>
      <c r="I70" s="27" t="s">
        <v>516</v>
      </c>
      <c r="J70" s="27" t="s">
        <v>516</v>
      </c>
      <c r="K70" s="27" t="s">
        <v>529</v>
      </c>
      <c r="L70" s="27" t="s">
        <v>539</v>
      </c>
      <c r="M70" s="30">
        <v>42174</v>
      </c>
      <c r="N70" s="30"/>
      <c r="O70" s="30"/>
      <c r="P70" s="27" t="s">
        <v>98</v>
      </c>
      <c r="Q70" s="32">
        <v>1</v>
      </c>
      <c r="R70" s="32">
        <v>30.8929166666667</v>
      </c>
      <c r="S70" s="32">
        <v>30.893356481481501</v>
      </c>
      <c r="T70" s="32">
        <v>0</v>
      </c>
      <c r="U70" s="32">
        <v>1</v>
      </c>
      <c r="V70" s="32">
        <v>30.892569444444401</v>
      </c>
      <c r="W70" s="32">
        <v>56</v>
      </c>
      <c r="X70" s="32">
        <v>1.5</v>
      </c>
      <c r="Y70" s="32">
        <v>1.5</v>
      </c>
      <c r="Z70" s="32">
        <v>0</v>
      </c>
      <c r="AA70" s="32">
        <v>1</v>
      </c>
      <c r="AC70" s="29"/>
    </row>
    <row r="71" spans="1:29" x14ac:dyDescent="0.25">
      <c r="A71" s="28" t="s">
        <v>281</v>
      </c>
      <c r="B71" s="28" t="s">
        <v>14</v>
      </c>
      <c r="C71" s="28" t="s">
        <v>13</v>
      </c>
      <c r="D71" s="28" t="s">
        <v>154</v>
      </c>
      <c r="E71" s="28" t="s">
        <v>21</v>
      </c>
      <c r="F71" s="28" t="s">
        <v>505</v>
      </c>
      <c r="G71" s="28" t="s">
        <v>509</v>
      </c>
      <c r="H71" s="28" t="s">
        <v>513</v>
      </c>
      <c r="I71" s="28" t="s">
        <v>517</v>
      </c>
      <c r="J71" s="28" t="s">
        <v>520</v>
      </c>
      <c r="K71" s="28" t="s">
        <v>529</v>
      </c>
      <c r="L71" s="28" t="s">
        <v>539</v>
      </c>
      <c r="M71" s="31">
        <v>42180</v>
      </c>
      <c r="N71" s="31">
        <v>42180</v>
      </c>
      <c r="O71" s="31">
        <v>42192</v>
      </c>
      <c r="P71" s="28" t="s">
        <v>98</v>
      </c>
      <c r="Q71" s="33">
        <v>1</v>
      </c>
      <c r="R71" s="33">
        <v>13.1744560185185</v>
      </c>
      <c r="S71" s="33">
        <v>13.1744560185185</v>
      </c>
      <c r="T71" s="33">
        <v>1</v>
      </c>
      <c r="U71" s="33">
        <v>1</v>
      </c>
      <c r="V71" s="33">
        <v>13.164722222222199</v>
      </c>
      <c r="W71" s="33">
        <v>56</v>
      </c>
      <c r="X71" s="33">
        <v>23</v>
      </c>
      <c r="Y71" s="33">
        <v>3</v>
      </c>
      <c r="Z71" s="33">
        <v>20</v>
      </c>
      <c r="AA71" s="33">
        <v>1</v>
      </c>
      <c r="AC71" s="29"/>
    </row>
    <row r="72" spans="1:29" x14ac:dyDescent="0.25">
      <c r="A72" s="27" t="s">
        <v>282</v>
      </c>
      <c r="B72" s="27" t="s">
        <v>14</v>
      </c>
      <c r="C72" s="27" t="s">
        <v>13</v>
      </c>
      <c r="D72" s="27" t="s">
        <v>154</v>
      </c>
      <c r="E72" s="27" t="s">
        <v>21</v>
      </c>
      <c r="F72" s="27" t="s">
        <v>506</v>
      </c>
      <c r="G72" s="27" t="s">
        <v>510</v>
      </c>
      <c r="H72" s="27" t="s">
        <v>513</v>
      </c>
      <c r="I72" s="27" t="s">
        <v>516</v>
      </c>
      <c r="J72" s="27" t="s">
        <v>516</v>
      </c>
      <c r="K72" s="27" t="s">
        <v>529</v>
      </c>
      <c r="L72" s="27" t="s">
        <v>539</v>
      </c>
      <c r="M72" s="30">
        <v>42181</v>
      </c>
      <c r="N72" s="30"/>
      <c r="O72" s="30"/>
      <c r="P72" s="27" t="s">
        <v>98</v>
      </c>
      <c r="Q72" s="32">
        <v>1</v>
      </c>
      <c r="R72" s="32">
        <v>38.875266203703703</v>
      </c>
      <c r="S72" s="32">
        <v>38.875266203703703</v>
      </c>
      <c r="T72" s="32">
        <v>0</v>
      </c>
      <c r="U72" s="32">
        <v>1</v>
      </c>
      <c r="V72" s="32">
        <v>38.8746064814815</v>
      </c>
      <c r="W72" s="32">
        <v>56</v>
      </c>
      <c r="X72" s="32">
        <v>6.5</v>
      </c>
      <c r="Y72" s="32">
        <v>6.5</v>
      </c>
      <c r="Z72" s="32">
        <v>0</v>
      </c>
      <c r="AA72" s="32">
        <v>1</v>
      </c>
      <c r="AC72" s="29"/>
    </row>
    <row r="73" spans="1:29" x14ac:dyDescent="0.25">
      <c r="A73" s="28" t="s">
        <v>283</v>
      </c>
      <c r="B73" s="28" t="s">
        <v>14</v>
      </c>
      <c r="C73" s="28" t="s">
        <v>13</v>
      </c>
      <c r="D73" s="28" t="s">
        <v>154</v>
      </c>
      <c r="E73" s="28" t="s">
        <v>21</v>
      </c>
      <c r="F73" s="28" t="s">
        <v>505</v>
      </c>
      <c r="G73" s="28" t="s">
        <v>509</v>
      </c>
      <c r="H73" s="28" t="s">
        <v>513</v>
      </c>
      <c r="I73" s="28" t="s">
        <v>517</v>
      </c>
      <c r="J73" s="28" t="s">
        <v>522</v>
      </c>
      <c r="K73" s="28" t="s">
        <v>529</v>
      </c>
      <c r="L73" s="28" t="s">
        <v>539</v>
      </c>
      <c r="M73" s="31">
        <v>42184</v>
      </c>
      <c r="N73" s="31">
        <v>42191</v>
      </c>
      <c r="O73" s="31">
        <v>42209</v>
      </c>
      <c r="P73" s="28" t="s">
        <v>111</v>
      </c>
      <c r="Q73" s="33">
        <v>1</v>
      </c>
      <c r="R73" s="33">
        <v>36.331817129629599</v>
      </c>
      <c r="S73" s="33">
        <v>36.331817129629599</v>
      </c>
      <c r="T73" s="33">
        <v>1</v>
      </c>
      <c r="U73" s="33">
        <v>1</v>
      </c>
      <c r="V73" s="33">
        <v>36.330185185185201</v>
      </c>
      <c r="W73" s="33">
        <v>56</v>
      </c>
      <c r="X73" s="33">
        <v>5.75</v>
      </c>
      <c r="Y73" s="33">
        <v>1.75</v>
      </c>
      <c r="Z73" s="33">
        <v>4</v>
      </c>
      <c r="AA73" s="33">
        <v>1</v>
      </c>
      <c r="AC73" s="29"/>
    </row>
    <row r="74" spans="1:29" x14ac:dyDescent="0.25">
      <c r="A74" s="27" t="s">
        <v>284</v>
      </c>
      <c r="B74" s="27" t="s">
        <v>14</v>
      </c>
      <c r="C74" s="27" t="s">
        <v>13</v>
      </c>
      <c r="D74" s="27" t="s">
        <v>154</v>
      </c>
      <c r="E74" s="27" t="s">
        <v>21</v>
      </c>
      <c r="F74" s="27" t="s">
        <v>505</v>
      </c>
      <c r="G74" s="27" t="s">
        <v>509</v>
      </c>
      <c r="H74" s="27" t="s">
        <v>513</v>
      </c>
      <c r="I74" s="27" t="s">
        <v>517</v>
      </c>
      <c r="J74" s="27" t="s">
        <v>522</v>
      </c>
      <c r="K74" s="27" t="s">
        <v>529</v>
      </c>
      <c r="L74" s="27" t="s">
        <v>539</v>
      </c>
      <c r="M74" s="30">
        <v>42187</v>
      </c>
      <c r="N74" s="30">
        <v>42187</v>
      </c>
      <c r="O74" s="30">
        <v>42193</v>
      </c>
      <c r="P74" s="27" t="s">
        <v>102</v>
      </c>
      <c r="Q74" s="32">
        <v>1</v>
      </c>
      <c r="R74" s="32">
        <v>36.641423611111101</v>
      </c>
      <c r="S74" s="32">
        <v>36.641423611111101</v>
      </c>
      <c r="T74" s="32">
        <v>1</v>
      </c>
      <c r="U74" s="32">
        <v>1</v>
      </c>
      <c r="V74" s="32">
        <v>33.2896990740741</v>
      </c>
      <c r="W74" s="32">
        <v>56</v>
      </c>
      <c r="X74" s="32">
        <v>14.75</v>
      </c>
      <c r="Y74" s="32">
        <v>2.75</v>
      </c>
      <c r="Z74" s="32">
        <v>12</v>
      </c>
      <c r="AA74" s="32">
        <v>1</v>
      </c>
      <c r="AC74" s="29"/>
    </row>
    <row r="75" spans="1:29" x14ac:dyDescent="0.25">
      <c r="A75" s="28" t="s">
        <v>285</v>
      </c>
      <c r="B75" s="28" t="s">
        <v>14</v>
      </c>
      <c r="C75" s="28" t="s">
        <v>16</v>
      </c>
      <c r="D75" s="28" t="s">
        <v>154</v>
      </c>
      <c r="E75" s="28" t="s">
        <v>21</v>
      </c>
      <c r="F75" s="28" t="s">
        <v>505</v>
      </c>
      <c r="G75" s="28" t="s">
        <v>509</v>
      </c>
      <c r="H75" s="28" t="s">
        <v>515</v>
      </c>
      <c r="I75" s="28" t="s">
        <v>517</v>
      </c>
      <c r="J75" s="28" t="s">
        <v>520</v>
      </c>
      <c r="K75" s="28" t="s">
        <v>529</v>
      </c>
      <c r="L75" s="28" t="s">
        <v>539</v>
      </c>
      <c r="M75" s="31">
        <v>42191</v>
      </c>
      <c r="N75" s="31">
        <v>42191</v>
      </c>
      <c r="O75" s="31">
        <v>42194</v>
      </c>
      <c r="P75" s="28" t="s">
        <v>113</v>
      </c>
      <c r="Q75" s="33">
        <v>1</v>
      </c>
      <c r="R75" s="33">
        <v>14.9606828703704</v>
      </c>
      <c r="S75" s="33">
        <v>14.9606828703704</v>
      </c>
      <c r="T75" s="33">
        <v>1</v>
      </c>
      <c r="U75" s="33">
        <v>1</v>
      </c>
      <c r="V75" s="33">
        <v>14.9588425925926</v>
      </c>
      <c r="W75" s="33">
        <v>28</v>
      </c>
      <c r="X75" s="33">
        <v>17.25</v>
      </c>
      <c r="Y75" s="33">
        <v>1.25</v>
      </c>
      <c r="Z75" s="33">
        <v>16</v>
      </c>
      <c r="AA75" s="33">
        <v>1</v>
      </c>
      <c r="AC75" s="29"/>
    </row>
    <row r="76" spans="1:29" x14ac:dyDescent="0.25">
      <c r="A76" s="27" t="s">
        <v>286</v>
      </c>
      <c r="B76" s="27" t="s">
        <v>14</v>
      </c>
      <c r="C76" s="27" t="s">
        <v>13</v>
      </c>
      <c r="D76" s="27" t="s">
        <v>154</v>
      </c>
      <c r="E76" s="27" t="s">
        <v>21</v>
      </c>
      <c r="F76" s="27" t="s">
        <v>505</v>
      </c>
      <c r="G76" s="27" t="s">
        <v>509</v>
      </c>
      <c r="H76" s="27" t="s">
        <v>513</v>
      </c>
      <c r="I76" s="27" t="s">
        <v>516</v>
      </c>
      <c r="J76" s="27" t="s">
        <v>516</v>
      </c>
      <c r="K76" s="27" t="s">
        <v>529</v>
      </c>
      <c r="L76" s="27" t="s">
        <v>539</v>
      </c>
      <c r="M76" s="30">
        <v>42198</v>
      </c>
      <c r="N76" s="30"/>
      <c r="O76" s="30"/>
      <c r="P76" s="27" t="s">
        <v>100</v>
      </c>
      <c r="Q76" s="32">
        <v>1</v>
      </c>
      <c r="R76" s="32">
        <v>17.6902199074074</v>
      </c>
      <c r="S76" s="32">
        <v>17.6902199074074</v>
      </c>
      <c r="T76" s="32">
        <v>0</v>
      </c>
      <c r="U76" s="32">
        <v>1</v>
      </c>
      <c r="V76" s="32">
        <v>17.689502314814799</v>
      </c>
      <c r="W76" s="32">
        <v>56</v>
      </c>
      <c r="X76" s="32">
        <v>0.5</v>
      </c>
      <c r="Y76" s="32">
        <v>0.5</v>
      </c>
      <c r="Z76" s="32">
        <v>0</v>
      </c>
      <c r="AA76" s="32">
        <v>1</v>
      </c>
      <c r="AC76" s="29"/>
    </row>
    <row r="77" spans="1:29" x14ac:dyDescent="0.25">
      <c r="A77" s="28" t="s">
        <v>287</v>
      </c>
      <c r="B77" s="28" t="s">
        <v>14</v>
      </c>
      <c r="C77" s="28" t="s">
        <v>16</v>
      </c>
      <c r="D77" s="28" t="s">
        <v>154</v>
      </c>
      <c r="E77" s="28" t="s">
        <v>21</v>
      </c>
      <c r="F77" s="28" t="s">
        <v>505</v>
      </c>
      <c r="G77" s="28" t="s">
        <v>509</v>
      </c>
      <c r="H77" s="28" t="s">
        <v>513</v>
      </c>
      <c r="I77" s="28" t="s">
        <v>516</v>
      </c>
      <c r="J77" s="28" t="s">
        <v>516</v>
      </c>
      <c r="K77" s="28" t="s">
        <v>529</v>
      </c>
      <c r="L77" s="28" t="s">
        <v>539</v>
      </c>
      <c r="M77" s="31">
        <v>42200</v>
      </c>
      <c r="N77" s="31"/>
      <c r="O77" s="31"/>
      <c r="P77" s="28" t="s">
        <v>102</v>
      </c>
      <c r="Q77" s="33">
        <v>1</v>
      </c>
      <c r="R77" s="33">
        <v>42.189120370370397</v>
      </c>
      <c r="S77" s="33">
        <v>42.189120370370397</v>
      </c>
      <c r="T77" s="33">
        <v>0</v>
      </c>
      <c r="U77" s="33">
        <v>1</v>
      </c>
      <c r="V77" s="33">
        <v>19.275381944444401</v>
      </c>
      <c r="W77" s="33">
        <v>28</v>
      </c>
      <c r="X77" s="33">
        <v>8</v>
      </c>
      <c r="Y77" s="33">
        <v>8</v>
      </c>
      <c r="Z77" s="33">
        <v>0</v>
      </c>
      <c r="AA77" s="33">
        <v>1</v>
      </c>
      <c r="AC77" s="29"/>
    </row>
    <row r="78" spans="1:29" x14ac:dyDescent="0.25">
      <c r="A78" s="27" t="s">
        <v>288</v>
      </c>
      <c r="B78" s="27" t="s">
        <v>14</v>
      </c>
      <c r="C78" s="27" t="s">
        <v>13</v>
      </c>
      <c r="D78" s="27" t="s">
        <v>154</v>
      </c>
      <c r="E78" s="27" t="s">
        <v>21</v>
      </c>
      <c r="F78" s="27" t="s">
        <v>505</v>
      </c>
      <c r="G78" s="27" t="s">
        <v>509</v>
      </c>
      <c r="H78" s="27" t="s">
        <v>513</v>
      </c>
      <c r="I78" s="27" t="s">
        <v>516</v>
      </c>
      <c r="J78" s="27" t="s">
        <v>516</v>
      </c>
      <c r="K78" s="27" t="s">
        <v>529</v>
      </c>
      <c r="L78" s="27" t="s">
        <v>539</v>
      </c>
      <c r="M78" s="30">
        <v>42200</v>
      </c>
      <c r="N78" s="30"/>
      <c r="O78" s="30"/>
      <c r="P78" s="27" t="s">
        <v>100</v>
      </c>
      <c r="Q78" s="32">
        <v>1</v>
      </c>
      <c r="R78" s="32">
        <v>19.1687615740741</v>
      </c>
      <c r="S78" s="32">
        <v>19.1687615740741</v>
      </c>
      <c r="T78" s="32">
        <v>0</v>
      </c>
      <c r="U78" s="32">
        <v>1</v>
      </c>
      <c r="V78" s="32">
        <v>19.167326388888899</v>
      </c>
      <c r="W78" s="32">
        <v>56</v>
      </c>
      <c r="X78" s="32">
        <v>1.5</v>
      </c>
      <c r="Y78" s="32">
        <v>1.5</v>
      </c>
      <c r="Z78" s="32">
        <v>0</v>
      </c>
      <c r="AA78" s="32">
        <v>1</v>
      </c>
      <c r="AC78" s="29"/>
    </row>
    <row r="79" spans="1:29" x14ac:dyDescent="0.25">
      <c r="A79" s="28" t="s">
        <v>289</v>
      </c>
      <c r="B79" s="28" t="s">
        <v>14</v>
      </c>
      <c r="C79" s="28" t="s">
        <v>16</v>
      </c>
      <c r="D79" s="28" t="s">
        <v>154</v>
      </c>
      <c r="E79" s="28" t="s">
        <v>21</v>
      </c>
      <c r="F79" s="28" t="s">
        <v>505</v>
      </c>
      <c r="G79" s="28" t="s">
        <v>509</v>
      </c>
      <c r="H79" s="28" t="s">
        <v>514</v>
      </c>
      <c r="I79" s="28" t="s">
        <v>517</v>
      </c>
      <c r="J79" s="28" t="s">
        <v>520</v>
      </c>
      <c r="K79" s="28" t="s">
        <v>529</v>
      </c>
      <c r="L79" s="28" t="s">
        <v>539</v>
      </c>
      <c r="M79" s="31">
        <v>42208</v>
      </c>
      <c r="N79" s="31">
        <v>42209</v>
      </c>
      <c r="O79" s="31">
        <v>42229</v>
      </c>
      <c r="P79" s="28" t="s">
        <v>107</v>
      </c>
      <c r="Q79" s="33">
        <v>1</v>
      </c>
      <c r="R79" s="33">
        <v>49.036886574074103</v>
      </c>
      <c r="S79" s="33">
        <v>49.036886574074103</v>
      </c>
      <c r="T79" s="33">
        <v>1</v>
      </c>
      <c r="U79" s="33">
        <v>1</v>
      </c>
      <c r="V79" s="33">
        <v>26.283391203703701</v>
      </c>
      <c r="W79" s="33">
        <v>28</v>
      </c>
      <c r="X79" s="33">
        <v>22</v>
      </c>
      <c r="Y79" s="33">
        <v>2</v>
      </c>
      <c r="Z79" s="33">
        <v>20</v>
      </c>
      <c r="AA79" s="33">
        <v>1</v>
      </c>
      <c r="AC79" s="29"/>
    </row>
    <row r="80" spans="1:29" x14ac:dyDescent="0.25">
      <c r="A80" s="27" t="s">
        <v>290</v>
      </c>
      <c r="B80" s="27" t="s">
        <v>14</v>
      </c>
      <c r="C80" s="27" t="s">
        <v>13</v>
      </c>
      <c r="D80" s="27" t="s">
        <v>154</v>
      </c>
      <c r="E80" s="27" t="s">
        <v>21</v>
      </c>
      <c r="F80" s="27" t="s">
        <v>505</v>
      </c>
      <c r="G80" s="27" t="s">
        <v>509</v>
      </c>
      <c r="H80" s="27" t="s">
        <v>513</v>
      </c>
      <c r="I80" s="27" t="s">
        <v>517</v>
      </c>
      <c r="J80" s="27" t="s">
        <v>522</v>
      </c>
      <c r="K80" s="27" t="s">
        <v>529</v>
      </c>
      <c r="L80" s="27" t="s">
        <v>539</v>
      </c>
      <c r="M80" s="30">
        <v>42220</v>
      </c>
      <c r="N80" s="30">
        <v>42222</v>
      </c>
      <c r="O80" s="30">
        <v>42234</v>
      </c>
      <c r="P80" s="27" t="s">
        <v>98</v>
      </c>
      <c r="Q80" s="32">
        <v>1</v>
      </c>
      <c r="R80" s="32">
        <v>22.143599537037002</v>
      </c>
      <c r="S80" s="32">
        <v>22.143599537037002</v>
      </c>
      <c r="T80" s="32">
        <v>1</v>
      </c>
      <c r="U80" s="32">
        <v>1</v>
      </c>
      <c r="V80" s="32">
        <v>14.2318865740741</v>
      </c>
      <c r="W80" s="32">
        <v>56</v>
      </c>
      <c r="X80" s="32">
        <v>18.5</v>
      </c>
      <c r="Y80" s="32">
        <v>6.5</v>
      </c>
      <c r="Z80" s="32">
        <v>12</v>
      </c>
      <c r="AA80" s="32">
        <v>1</v>
      </c>
      <c r="AC80" s="29"/>
    </row>
    <row r="81" spans="1:29" x14ac:dyDescent="0.25">
      <c r="A81" s="28" t="s">
        <v>291</v>
      </c>
      <c r="B81" s="28" t="s">
        <v>19</v>
      </c>
      <c r="C81" s="28" t="s">
        <v>13</v>
      </c>
      <c r="D81" s="28" t="s">
        <v>154</v>
      </c>
      <c r="E81" s="28" t="s">
        <v>21</v>
      </c>
      <c r="F81" s="28" t="s">
        <v>505</v>
      </c>
      <c r="G81" s="28" t="s">
        <v>512</v>
      </c>
      <c r="H81" s="28" t="s">
        <v>513</v>
      </c>
      <c r="I81" s="28" t="s">
        <v>517</v>
      </c>
      <c r="J81" s="28" t="s">
        <v>520</v>
      </c>
      <c r="K81" s="28" t="s">
        <v>529</v>
      </c>
      <c r="L81" s="28" t="s">
        <v>539</v>
      </c>
      <c r="M81" s="31">
        <v>42220</v>
      </c>
      <c r="N81" s="31">
        <v>42220</v>
      </c>
      <c r="O81" s="31">
        <v>42223</v>
      </c>
      <c r="P81" s="28" t="s">
        <v>112</v>
      </c>
      <c r="Q81" s="33">
        <v>1</v>
      </c>
      <c r="R81" s="33">
        <v>64.952523148148103</v>
      </c>
      <c r="S81" s="33">
        <v>64.952523148148103</v>
      </c>
      <c r="T81" s="33">
        <v>1</v>
      </c>
      <c r="U81" s="33">
        <v>1</v>
      </c>
      <c r="V81" s="33">
        <v>26.471712962963</v>
      </c>
      <c r="W81" s="33">
        <v>56</v>
      </c>
      <c r="X81" s="33">
        <v>13</v>
      </c>
      <c r="Y81" s="33">
        <v>1</v>
      </c>
      <c r="Z81" s="33">
        <v>12</v>
      </c>
      <c r="AA81" s="33">
        <v>1</v>
      </c>
      <c r="AC81" s="29"/>
    </row>
    <row r="82" spans="1:29" x14ac:dyDescent="0.25">
      <c r="A82" s="27" t="s">
        <v>292</v>
      </c>
      <c r="B82" s="27" t="s">
        <v>14</v>
      </c>
      <c r="C82" s="27" t="s">
        <v>13</v>
      </c>
      <c r="D82" s="27" t="s">
        <v>154</v>
      </c>
      <c r="E82" s="27" t="s">
        <v>21</v>
      </c>
      <c r="F82" s="27" t="s">
        <v>506</v>
      </c>
      <c r="G82" s="27" t="s">
        <v>510</v>
      </c>
      <c r="H82" s="27" t="s">
        <v>513</v>
      </c>
      <c r="I82" s="27" t="s">
        <v>516</v>
      </c>
      <c r="J82" s="27" t="s">
        <v>516</v>
      </c>
      <c r="K82" s="27" t="s">
        <v>529</v>
      </c>
      <c r="L82" s="27" t="s">
        <v>539</v>
      </c>
      <c r="M82" s="30">
        <v>42227</v>
      </c>
      <c r="N82" s="30"/>
      <c r="O82" s="30"/>
      <c r="P82" s="27" t="s">
        <v>114</v>
      </c>
      <c r="Q82" s="32">
        <v>1</v>
      </c>
      <c r="R82" s="32">
        <v>77.337835648148101</v>
      </c>
      <c r="S82" s="32">
        <v>77.337835648148101</v>
      </c>
      <c r="T82" s="32">
        <v>0</v>
      </c>
      <c r="U82" s="32">
        <v>1</v>
      </c>
      <c r="V82" s="32">
        <v>21.228287037036999</v>
      </c>
      <c r="W82" s="32">
        <v>56</v>
      </c>
      <c r="X82" s="32">
        <v>6.5</v>
      </c>
      <c r="Y82" s="32">
        <v>6.5</v>
      </c>
      <c r="Z82" s="32">
        <v>0</v>
      </c>
      <c r="AA82" s="32">
        <v>1</v>
      </c>
      <c r="AC82" s="29"/>
    </row>
    <row r="83" spans="1:29" x14ac:dyDescent="0.25">
      <c r="A83" s="28" t="s">
        <v>293</v>
      </c>
      <c r="B83" s="28" t="s">
        <v>498</v>
      </c>
      <c r="C83" s="28" t="s">
        <v>13</v>
      </c>
      <c r="D83" s="28" t="s">
        <v>503</v>
      </c>
      <c r="E83" s="28" t="s">
        <v>27</v>
      </c>
      <c r="F83" s="28" t="s">
        <v>506</v>
      </c>
      <c r="G83" s="28" t="s">
        <v>511</v>
      </c>
      <c r="H83" s="28" t="s">
        <v>513</v>
      </c>
      <c r="I83" s="28" t="s">
        <v>517</v>
      </c>
      <c r="J83" s="28" t="s">
        <v>523</v>
      </c>
      <c r="K83" s="28" t="s">
        <v>529</v>
      </c>
      <c r="L83" s="28" t="s">
        <v>540</v>
      </c>
      <c r="M83" s="31">
        <v>42228</v>
      </c>
      <c r="N83" s="31">
        <v>42229</v>
      </c>
      <c r="O83" s="31">
        <v>42244</v>
      </c>
      <c r="P83" s="28" t="s">
        <v>113</v>
      </c>
      <c r="Q83" s="33">
        <v>1</v>
      </c>
      <c r="R83" s="33">
        <v>487.36690972222198</v>
      </c>
      <c r="S83" s="33">
        <v>487.36690972222198</v>
      </c>
      <c r="T83" s="33">
        <v>1</v>
      </c>
      <c r="U83" s="33">
        <v>0</v>
      </c>
      <c r="V83" s="33">
        <v>0</v>
      </c>
      <c r="W83" s="33">
        <v>366</v>
      </c>
      <c r="X83" s="33">
        <v>60</v>
      </c>
      <c r="Y83" s="33">
        <v>0</v>
      </c>
      <c r="Z83" s="33">
        <v>60</v>
      </c>
      <c r="AA83" s="33">
        <v>0</v>
      </c>
      <c r="AC83" s="29"/>
    </row>
    <row r="84" spans="1:29" x14ac:dyDescent="0.25">
      <c r="A84" s="27" t="s">
        <v>294</v>
      </c>
      <c r="B84" s="27" t="s">
        <v>498</v>
      </c>
      <c r="C84" s="27" t="s">
        <v>13</v>
      </c>
      <c r="D84" s="27" t="s">
        <v>503</v>
      </c>
      <c r="E84" s="27" t="s">
        <v>27</v>
      </c>
      <c r="F84" s="27" t="s">
        <v>506</v>
      </c>
      <c r="G84" s="27" t="s">
        <v>511</v>
      </c>
      <c r="H84" s="27" t="s">
        <v>513</v>
      </c>
      <c r="I84" s="27" t="s">
        <v>517</v>
      </c>
      <c r="J84" s="27" t="s">
        <v>523</v>
      </c>
      <c r="K84" s="27" t="s">
        <v>529</v>
      </c>
      <c r="L84" s="27" t="s">
        <v>540</v>
      </c>
      <c r="M84" s="30">
        <v>42228</v>
      </c>
      <c r="N84" s="30">
        <v>42229</v>
      </c>
      <c r="O84" s="30">
        <v>42241</v>
      </c>
      <c r="P84" s="27" t="s">
        <v>98</v>
      </c>
      <c r="Q84" s="32">
        <v>1</v>
      </c>
      <c r="R84" s="32">
        <v>487.35796296296297</v>
      </c>
      <c r="S84" s="32">
        <v>487.35796296296297</v>
      </c>
      <c r="T84" s="32">
        <v>1</v>
      </c>
      <c r="U84" s="32">
        <v>0</v>
      </c>
      <c r="V84" s="32">
        <v>0</v>
      </c>
      <c r="W84" s="32">
        <v>366</v>
      </c>
      <c r="X84" s="32">
        <v>20</v>
      </c>
      <c r="Y84" s="32">
        <v>0</v>
      </c>
      <c r="Z84" s="32">
        <v>20</v>
      </c>
      <c r="AA84" s="32">
        <v>0</v>
      </c>
      <c r="AC84" s="29"/>
    </row>
    <row r="85" spans="1:29" x14ac:dyDescent="0.25">
      <c r="A85" s="28" t="s">
        <v>295</v>
      </c>
      <c r="B85" s="28" t="s">
        <v>14</v>
      </c>
      <c r="C85" s="28" t="s">
        <v>15</v>
      </c>
      <c r="D85" s="28" t="s">
        <v>154</v>
      </c>
      <c r="E85" s="28" t="s">
        <v>21</v>
      </c>
      <c r="F85" s="28" t="s">
        <v>506</v>
      </c>
      <c r="G85" s="28" t="s">
        <v>511</v>
      </c>
      <c r="H85" s="28" t="s">
        <v>513</v>
      </c>
      <c r="I85" s="28" t="s">
        <v>516</v>
      </c>
      <c r="J85" s="28" t="s">
        <v>516</v>
      </c>
      <c r="K85" s="28" t="s">
        <v>529</v>
      </c>
      <c r="L85" s="28" t="s">
        <v>539</v>
      </c>
      <c r="M85" s="31">
        <v>42228</v>
      </c>
      <c r="N85" s="31"/>
      <c r="O85" s="31"/>
      <c r="P85" s="28" t="s">
        <v>113</v>
      </c>
      <c r="Q85" s="33">
        <v>1</v>
      </c>
      <c r="R85" s="33">
        <v>75.946064814814804</v>
      </c>
      <c r="S85" s="33">
        <v>75.946064814814804</v>
      </c>
      <c r="T85" s="33">
        <v>0</v>
      </c>
      <c r="U85" s="33">
        <v>1</v>
      </c>
      <c r="V85" s="33">
        <v>63.939363425925897</v>
      </c>
      <c r="W85" s="33">
        <v>140</v>
      </c>
      <c r="X85" s="33">
        <v>1</v>
      </c>
      <c r="Y85" s="33">
        <v>1</v>
      </c>
      <c r="Z85" s="33">
        <v>0</v>
      </c>
      <c r="AA85" s="33">
        <v>1</v>
      </c>
      <c r="AC85" s="29"/>
    </row>
    <row r="86" spans="1:29" x14ac:dyDescent="0.25">
      <c r="A86" s="27" t="s">
        <v>296</v>
      </c>
      <c r="B86" s="27" t="s">
        <v>19</v>
      </c>
      <c r="C86" s="27" t="s">
        <v>16</v>
      </c>
      <c r="D86" s="27" t="s">
        <v>154</v>
      </c>
      <c r="E86" s="27" t="s">
        <v>21</v>
      </c>
      <c r="F86" s="27" t="s">
        <v>505</v>
      </c>
      <c r="G86" s="27" t="s">
        <v>512</v>
      </c>
      <c r="H86" s="27" t="s">
        <v>513</v>
      </c>
      <c r="I86" s="27" t="s">
        <v>517</v>
      </c>
      <c r="J86" s="27" t="s">
        <v>523</v>
      </c>
      <c r="K86" s="27" t="s">
        <v>529</v>
      </c>
      <c r="L86" s="27" t="s">
        <v>539</v>
      </c>
      <c r="M86" s="30">
        <v>42228</v>
      </c>
      <c r="N86" s="30">
        <v>42228</v>
      </c>
      <c r="O86" s="30">
        <v>42254</v>
      </c>
      <c r="P86" s="27" t="s">
        <v>113</v>
      </c>
      <c r="Q86" s="32">
        <v>1</v>
      </c>
      <c r="R86" s="32">
        <v>56.900624999999998</v>
      </c>
      <c r="S86" s="32">
        <v>56.900624999999998</v>
      </c>
      <c r="T86" s="32">
        <v>1</v>
      </c>
      <c r="U86" s="32">
        <v>1</v>
      </c>
      <c r="V86" s="32">
        <v>41.114224537037003</v>
      </c>
      <c r="W86" s="32">
        <v>28</v>
      </c>
      <c r="X86" s="32">
        <v>68</v>
      </c>
      <c r="Y86" s="32">
        <v>0</v>
      </c>
      <c r="Z86" s="32">
        <v>68</v>
      </c>
      <c r="AA86" s="32">
        <v>0</v>
      </c>
      <c r="AC86" s="29"/>
    </row>
    <row r="87" spans="1:29" x14ac:dyDescent="0.25">
      <c r="A87" s="28" t="s">
        <v>297</v>
      </c>
      <c r="B87" s="28" t="s">
        <v>14</v>
      </c>
      <c r="C87" s="28" t="s">
        <v>13</v>
      </c>
      <c r="D87" s="28" t="s">
        <v>154</v>
      </c>
      <c r="E87" s="28" t="s">
        <v>21</v>
      </c>
      <c r="F87" s="28" t="s">
        <v>505</v>
      </c>
      <c r="G87" s="28" t="s">
        <v>512</v>
      </c>
      <c r="H87" s="28" t="s">
        <v>513</v>
      </c>
      <c r="I87" s="28" t="s">
        <v>517</v>
      </c>
      <c r="J87" s="28" t="s">
        <v>520</v>
      </c>
      <c r="K87" s="28" t="s">
        <v>529</v>
      </c>
      <c r="L87" s="28" t="s">
        <v>539</v>
      </c>
      <c r="M87" s="31">
        <v>42234</v>
      </c>
      <c r="N87" s="31">
        <v>42234</v>
      </c>
      <c r="O87" s="31">
        <v>42248</v>
      </c>
      <c r="P87" s="28" t="s">
        <v>105</v>
      </c>
      <c r="Q87" s="33">
        <v>1</v>
      </c>
      <c r="R87" s="33">
        <v>70.432511574074098</v>
      </c>
      <c r="S87" s="33">
        <v>70.432511574074098</v>
      </c>
      <c r="T87" s="33">
        <v>1</v>
      </c>
      <c r="U87" s="33">
        <v>1</v>
      </c>
      <c r="V87" s="33">
        <v>14.316724537037</v>
      </c>
      <c r="W87" s="33">
        <v>56</v>
      </c>
      <c r="X87" s="33">
        <v>21</v>
      </c>
      <c r="Y87" s="33">
        <v>1</v>
      </c>
      <c r="Z87" s="33">
        <v>20</v>
      </c>
      <c r="AA87" s="33">
        <v>1</v>
      </c>
      <c r="AC87" s="29"/>
    </row>
    <row r="88" spans="1:29" x14ac:dyDescent="0.25">
      <c r="A88" s="27" t="s">
        <v>298</v>
      </c>
      <c r="B88" s="27" t="s">
        <v>14</v>
      </c>
      <c r="C88" s="27" t="s">
        <v>16</v>
      </c>
      <c r="D88" s="27" t="s">
        <v>154</v>
      </c>
      <c r="E88" s="27" t="s">
        <v>21</v>
      </c>
      <c r="F88" s="27" t="s">
        <v>505</v>
      </c>
      <c r="G88" s="27" t="s">
        <v>509</v>
      </c>
      <c r="H88" s="27" t="s">
        <v>513</v>
      </c>
      <c r="I88" s="27" t="s">
        <v>516</v>
      </c>
      <c r="J88" s="27" t="s">
        <v>516</v>
      </c>
      <c r="K88" s="27" t="s">
        <v>529</v>
      </c>
      <c r="L88" s="27" t="s">
        <v>539</v>
      </c>
      <c r="M88" s="30">
        <v>42236</v>
      </c>
      <c r="N88" s="30"/>
      <c r="O88" s="30"/>
      <c r="P88" s="27" t="s">
        <v>107</v>
      </c>
      <c r="Q88" s="32">
        <v>1</v>
      </c>
      <c r="R88" s="32">
        <v>6.1135185185185197</v>
      </c>
      <c r="S88" s="32">
        <v>6.1135185185185197</v>
      </c>
      <c r="T88" s="32">
        <v>0</v>
      </c>
      <c r="U88" s="32">
        <v>1</v>
      </c>
      <c r="V88" s="32">
        <v>4.1910648148148102</v>
      </c>
      <c r="W88" s="32">
        <v>28</v>
      </c>
      <c r="X88" s="32">
        <v>5</v>
      </c>
      <c r="Y88" s="32">
        <v>5</v>
      </c>
      <c r="Z88" s="32">
        <v>0</v>
      </c>
      <c r="AA88" s="32">
        <v>1</v>
      </c>
      <c r="AC88" s="29"/>
    </row>
    <row r="89" spans="1:29" x14ac:dyDescent="0.25">
      <c r="A89" s="28" t="s">
        <v>299</v>
      </c>
      <c r="B89" s="28" t="s">
        <v>14</v>
      </c>
      <c r="C89" s="28" t="s">
        <v>13</v>
      </c>
      <c r="D89" s="28" t="s">
        <v>154</v>
      </c>
      <c r="E89" s="28" t="s">
        <v>21</v>
      </c>
      <c r="F89" s="28" t="s">
        <v>505</v>
      </c>
      <c r="G89" s="28" t="s">
        <v>509</v>
      </c>
      <c r="H89" s="28" t="s">
        <v>513</v>
      </c>
      <c r="I89" s="28" t="s">
        <v>516</v>
      </c>
      <c r="J89" s="28" t="s">
        <v>516</v>
      </c>
      <c r="K89" s="28" t="s">
        <v>529</v>
      </c>
      <c r="L89" s="28" t="s">
        <v>539</v>
      </c>
      <c r="M89" s="31">
        <v>42240</v>
      </c>
      <c r="N89" s="31"/>
      <c r="O89" s="31"/>
      <c r="P89" s="28" t="s">
        <v>101</v>
      </c>
      <c r="Q89" s="33">
        <v>1</v>
      </c>
      <c r="R89" s="33">
        <v>16.012604166666701</v>
      </c>
      <c r="S89" s="33">
        <v>16.012604166666701</v>
      </c>
      <c r="T89" s="33">
        <v>0</v>
      </c>
      <c r="U89" s="33">
        <v>1</v>
      </c>
      <c r="V89" s="33">
        <v>16.0105787037037</v>
      </c>
      <c r="W89" s="33">
        <v>56</v>
      </c>
      <c r="X89" s="33">
        <v>8.5</v>
      </c>
      <c r="Y89" s="33">
        <v>8.5</v>
      </c>
      <c r="Z89" s="33">
        <v>0</v>
      </c>
      <c r="AA89" s="33">
        <v>1</v>
      </c>
      <c r="AC89" s="29"/>
    </row>
    <row r="90" spans="1:29" x14ac:dyDescent="0.25">
      <c r="A90" s="27" t="s">
        <v>300</v>
      </c>
      <c r="B90" s="27" t="s">
        <v>14</v>
      </c>
      <c r="C90" s="27" t="s">
        <v>13</v>
      </c>
      <c r="D90" s="27" t="s">
        <v>154</v>
      </c>
      <c r="E90" s="27" t="s">
        <v>21</v>
      </c>
      <c r="F90" s="27" t="s">
        <v>505</v>
      </c>
      <c r="G90" s="27" t="s">
        <v>509</v>
      </c>
      <c r="H90" s="27" t="s">
        <v>513</v>
      </c>
      <c r="I90" s="27" t="s">
        <v>517</v>
      </c>
      <c r="J90" s="27" t="s">
        <v>520</v>
      </c>
      <c r="K90" s="27" t="s">
        <v>529</v>
      </c>
      <c r="L90" s="27" t="s">
        <v>539</v>
      </c>
      <c r="M90" s="30">
        <v>42243</v>
      </c>
      <c r="N90" s="30">
        <v>42243</v>
      </c>
      <c r="O90" s="30">
        <v>42253</v>
      </c>
      <c r="P90" s="27" t="s">
        <v>115</v>
      </c>
      <c r="Q90" s="32">
        <v>1</v>
      </c>
      <c r="R90" s="32">
        <v>49.333263888888901</v>
      </c>
      <c r="S90" s="32">
        <v>49.333263888888901</v>
      </c>
      <c r="T90" s="32">
        <v>1</v>
      </c>
      <c r="U90" s="32">
        <v>1</v>
      </c>
      <c r="V90" s="32">
        <v>12.3376388888889</v>
      </c>
      <c r="W90" s="32">
        <v>56</v>
      </c>
      <c r="X90" s="32">
        <v>21.5</v>
      </c>
      <c r="Y90" s="32">
        <v>1.5</v>
      </c>
      <c r="Z90" s="32">
        <v>20</v>
      </c>
      <c r="AA90" s="32">
        <v>1</v>
      </c>
      <c r="AC90" s="29"/>
    </row>
    <row r="91" spans="1:29" x14ac:dyDescent="0.25">
      <c r="A91" s="28" t="s">
        <v>301</v>
      </c>
      <c r="B91" s="28" t="s">
        <v>14</v>
      </c>
      <c r="C91" s="28" t="s">
        <v>16</v>
      </c>
      <c r="D91" s="28" t="s">
        <v>154</v>
      </c>
      <c r="E91" s="28" t="s">
        <v>21</v>
      </c>
      <c r="F91" s="28" t="s">
        <v>506</v>
      </c>
      <c r="G91" s="28" t="s">
        <v>510</v>
      </c>
      <c r="H91" s="28" t="s">
        <v>513</v>
      </c>
      <c r="I91" s="28" t="s">
        <v>516</v>
      </c>
      <c r="J91" s="28" t="s">
        <v>516</v>
      </c>
      <c r="K91" s="28" t="s">
        <v>529</v>
      </c>
      <c r="L91" s="28" t="s">
        <v>539</v>
      </c>
      <c r="M91" s="31">
        <v>42248</v>
      </c>
      <c r="N91" s="31"/>
      <c r="O91" s="31"/>
      <c r="P91" s="28" t="s">
        <v>104</v>
      </c>
      <c r="Q91" s="33">
        <v>1</v>
      </c>
      <c r="R91" s="33">
        <v>3.4037384259259298</v>
      </c>
      <c r="S91" s="33">
        <v>3.4037384259259298</v>
      </c>
      <c r="T91" s="33">
        <v>0</v>
      </c>
      <c r="U91" s="33">
        <v>1</v>
      </c>
      <c r="V91" s="33">
        <v>0.42668981481481499</v>
      </c>
      <c r="W91" s="33">
        <v>28</v>
      </c>
      <c r="X91" s="33">
        <v>6</v>
      </c>
      <c r="Y91" s="33">
        <v>6</v>
      </c>
      <c r="Z91" s="33">
        <v>0</v>
      </c>
      <c r="AA91" s="33">
        <v>1</v>
      </c>
      <c r="AC91" s="29"/>
    </row>
    <row r="92" spans="1:29" x14ac:dyDescent="0.25">
      <c r="A92" s="27" t="s">
        <v>302</v>
      </c>
      <c r="B92" s="27" t="s">
        <v>14</v>
      </c>
      <c r="C92" s="27" t="s">
        <v>13</v>
      </c>
      <c r="D92" s="27" t="s">
        <v>154</v>
      </c>
      <c r="E92" s="27" t="s">
        <v>21</v>
      </c>
      <c r="F92" s="27" t="s">
        <v>506</v>
      </c>
      <c r="G92" s="27" t="s">
        <v>510</v>
      </c>
      <c r="H92" s="27" t="s">
        <v>513</v>
      </c>
      <c r="I92" s="27" t="s">
        <v>516</v>
      </c>
      <c r="J92" s="27" t="s">
        <v>516</v>
      </c>
      <c r="K92" s="27" t="s">
        <v>529</v>
      </c>
      <c r="L92" s="27" t="s">
        <v>539</v>
      </c>
      <c r="M92" s="30">
        <v>42248</v>
      </c>
      <c r="N92" s="30"/>
      <c r="O92" s="30"/>
      <c r="P92" s="27" t="s">
        <v>104</v>
      </c>
      <c r="Q92" s="32">
        <v>1</v>
      </c>
      <c r="R92" s="32">
        <v>84.936921296296305</v>
      </c>
      <c r="S92" s="32">
        <v>174.961099537037</v>
      </c>
      <c r="T92" s="32">
        <v>0</v>
      </c>
      <c r="U92" s="32">
        <v>1</v>
      </c>
      <c r="V92" s="32">
        <v>84.9365509259259</v>
      </c>
      <c r="W92" s="32">
        <v>56</v>
      </c>
      <c r="X92" s="32">
        <v>0</v>
      </c>
      <c r="Y92" s="32">
        <v>0</v>
      </c>
      <c r="Z92" s="32">
        <v>0</v>
      </c>
      <c r="AA92" s="32">
        <v>0</v>
      </c>
      <c r="AC92" s="29"/>
    </row>
    <row r="93" spans="1:29" x14ac:dyDescent="0.25">
      <c r="A93" s="28" t="s">
        <v>303</v>
      </c>
      <c r="B93" s="28" t="s">
        <v>14</v>
      </c>
      <c r="C93" s="28" t="s">
        <v>13</v>
      </c>
      <c r="D93" s="28" t="s">
        <v>154</v>
      </c>
      <c r="E93" s="28" t="s">
        <v>21</v>
      </c>
      <c r="F93" s="28" t="s">
        <v>506</v>
      </c>
      <c r="G93" s="28" t="s">
        <v>510</v>
      </c>
      <c r="H93" s="28" t="s">
        <v>513</v>
      </c>
      <c r="I93" s="28" t="s">
        <v>516</v>
      </c>
      <c r="J93" s="28" t="s">
        <v>516</v>
      </c>
      <c r="K93" s="28" t="s">
        <v>529</v>
      </c>
      <c r="L93" s="28" t="s">
        <v>539</v>
      </c>
      <c r="M93" s="31">
        <v>42248</v>
      </c>
      <c r="N93" s="31"/>
      <c r="O93" s="31"/>
      <c r="P93" s="28" t="s">
        <v>104</v>
      </c>
      <c r="Q93" s="33">
        <v>1</v>
      </c>
      <c r="R93" s="33">
        <v>84.928182870370406</v>
      </c>
      <c r="S93" s="33">
        <v>174.95921296296299</v>
      </c>
      <c r="T93" s="33">
        <v>0</v>
      </c>
      <c r="U93" s="33">
        <v>1</v>
      </c>
      <c r="V93" s="33">
        <v>84.9278703703704</v>
      </c>
      <c r="W93" s="33">
        <v>56</v>
      </c>
      <c r="X93" s="33">
        <v>0</v>
      </c>
      <c r="Y93" s="33">
        <v>0</v>
      </c>
      <c r="Z93" s="33">
        <v>0</v>
      </c>
      <c r="AA93" s="33">
        <v>0</v>
      </c>
      <c r="AC93" s="29"/>
    </row>
    <row r="94" spans="1:29" x14ac:dyDescent="0.25">
      <c r="A94" s="27" t="s">
        <v>304</v>
      </c>
      <c r="B94" s="27" t="s">
        <v>14</v>
      </c>
      <c r="C94" s="27" t="s">
        <v>13</v>
      </c>
      <c r="D94" s="27" t="s">
        <v>154</v>
      </c>
      <c r="E94" s="27" t="s">
        <v>21</v>
      </c>
      <c r="F94" s="27" t="s">
        <v>506</v>
      </c>
      <c r="G94" s="27" t="s">
        <v>510</v>
      </c>
      <c r="H94" s="27" t="s">
        <v>513</v>
      </c>
      <c r="I94" s="27" t="s">
        <v>516</v>
      </c>
      <c r="J94" s="27" t="s">
        <v>516</v>
      </c>
      <c r="K94" s="27" t="s">
        <v>529</v>
      </c>
      <c r="L94" s="27" t="s">
        <v>539</v>
      </c>
      <c r="M94" s="30">
        <v>42252</v>
      </c>
      <c r="N94" s="30"/>
      <c r="O94" s="30"/>
      <c r="P94" s="27" t="s">
        <v>110</v>
      </c>
      <c r="Q94" s="32">
        <v>1</v>
      </c>
      <c r="R94" s="32">
        <v>40.133148148148202</v>
      </c>
      <c r="S94" s="32">
        <v>40.133148148148202</v>
      </c>
      <c r="T94" s="32">
        <v>0</v>
      </c>
      <c r="U94" s="32">
        <v>1</v>
      </c>
      <c r="V94" s="32">
        <v>40.0692824074074</v>
      </c>
      <c r="W94" s="32">
        <v>56</v>
      </c>
      <c r="X94" s="32">
        <v>2.5</v>
      </c>
      <c r="Y94" s="32">
        <v>2.5</v>
      </c>
      <c r="Z94" s="32">
        <v>0</v>
      </c>
      <c r="AA94" s="32">
        <v>1</v>
      </c>
      <c r="AC94" s="29"/>
    </row>
    <row r="95" spans="1:29" x14ac:dyDescent="0.25">
      <c r="A95" s="28" t="s">
        <v>305</v>
      </c>
      <c r="B95" s="28" t="s">
        <v>14</v>
      </c>
      <c r="C95" s="28" t="s">
        <v>13</v>
      </c>
      <c r="D95" s="28" t="s">
        <v>154</v>
      </c>
      <c r="E95" s="28" t="s">
        <v>21</v>
      </c>
      <c r="F95" s="28" t="s">
        <v>505</v>
      </c>
      <c r="G95" s="28" t="s">
        <v>509</v>
      </c>
      <c r="H95" s="28" t="s">
        <v>513</v>
      </c>
      <c r="I95" s="28" t="s">
        <v>516</v>
      </c>
      <c r="J95" s="28" t="s">
        <v>516</v>
      </c>
      <c r="K95" s="28" t="s">
        <v>529</v>
      </c>
      <c r="L95" s="28" t="s">
        <v>539</v>
      </c>
      <c r="M95" s="31">
        <v>42257</v>
      </c>
      <c r="N95" s="31"/>
      <c r="O95" s="31"/>
      <c r="P95" s="28" t="s">
        <v>101</v>
      </c>
      <c r="Q95" s="33">
        <v>1</v>
      </c>
      <c r="R95" s="33">
        <v>47.374282407407399</v>
      </c>
      <c r="S95" s="33">
        <v>47.374282407407399</v>
      </c>
      <c r="T95" s="33">
        <v>0</v>
      </c>
      <c r="U95" s="33">
        <v>1</v>
      </c>
      <c r="V95" s="33">
        <v>6.0160995370370403</v>
      </c>
      <c r="W95" s="33">
        <v>56</v>
      </c>
      <c r="X95" s="33">
        <v>4.75</v>
      </c>
      <c r="Y95" s="33">
        <v>4.75</v>
      </c>
      <c r="Z95" s="33">
        <v>0</v>
      </c>
      <c r="AA95" s="33">
        <v>1</v>
      </c>
      <c r="AC95" s="29"/>
    </row>
    <row r="96" spans="1:29" x14ac:dyDescent="0.25">
      <c r="A96" s="27" t="s">
        <v>306</v>
      </c>
      <c r="B96" s="27" t="s">
        <v>14</v>
      </c>
      <c r="C96" s="27" t="s">
        <v>15</v>
      </c>
      <c r="D96" s="27" t="s">
        <v>154</v>
      </c>
      <c r="E96" s="27" t="s">
        <v>21</v>
      </c>
      <c r="F96" s="27" t="s">
        <v>506</v>
      </c>
      <c r="G96" s="27" t="s">
        <v>510</v>
      </c>
      <c r="H96" s="27" t="s">
        <v>513</v>
      </c>
      <c r="I96" s="27" t="s">
        <v>516</v>
      </c>
      <c r="J96" s="27" t="s">
        <v>516</v>
      </c>
      <c r="K96" s="27" t="s">
        <v>529</v>
      </c>
      <c r="L96" s="27" t="s">
        <v>539</v>
      </c>
      <c r="M96" s="30">
        <v>42257</v>
      </c>
      <c r="N96" s="30"/>
      <c r="O96" s="30"/>
      <c r="P96" s="27" t="s">
        <v>104</v>
      </c>
      <c r="Q96" s="32">
        <v>1</v>
      </c>
      <c r="R96" s="32">
        <v>76.0797800925926</v>
      </c>
      <c r="S96" s="32">
        <v>166.11181712963</v>
      </c>
      <c r="T96" s="32">
        <v>0</v>
      </c>
      <c r="U96" s="32">
        <v>1</v>
      </c>
      <c r="V96" s="32">
        <v>76.079386574074107</v>
      </c>
      <c r="W96" s="32">
        <v>140</v>
      </c>
      <c r="X96" s="32">
        <v>0</v>
      </c>
      <c r="Y96" s="32">
        <v>0</v>
      </c>
      <c r="Z96" s="32">
        <v>0</v>
      </c>
      <c r="AA96" s="32">
        <v>1</v>
      </c>
      <c r="AC96" s="29"/>
    </row>
    <row r="97" spans="1:29" x14ac:dyDescent="0.25">
      <c r="A97" s="28" t="s">
        <v>307</v>
      </c>
      <c r="B97" s="28" t="s">
        <v>14</v>
      </c>
      <c r="C97" s="28" t="s">
        <v>16</v>
      </c>
      <c r="D97" s="28" t="s">
        <v>154</v>
      </c>
      <c r="E97" s="28" t="s">
        <v>21</v>
      </c>
      <c r="F97" s="28" t="s">
        <v>506</v>
      </c>
      <c r="G97" s="28" t="s">
        <v>510</v>
      </c>
      <c r="H97" s="28" t="s">
        <v>513</v>
      </c>
      <c r="I97" s="28" t="s">
        <v>516</v>
      </c>
      <c r="J97" s="28" t="s">
        <v>516</v>
      </c>
      <c r="K97" s="28" t="s">
        <v>529</v>
      </c>
      <c r="L97" s="28" t="s">
        <v>539</v>
      </c>
      <c r="M97" s="31">
        <v>42257</v>
      </c>
      <c r="N97" s="31"/>
      <c r="O97" s="31"/>
      <c r="P97" s="28" t="s">
        <v>106</v>
      </c>
      <c r="Q97" s="33">
        <v>1</v>
      </c>
      <c r="R97" s="33">
        <v>14.185601851851899</v>
      </c>
      <c r="S97" s="33">
        <v>14.185601851851899</v>
      </c>
      <c r="T97" s="33">
        <v>0</v>
      </c>
      <c r="U97" s="33">
        <v>1</v>
      </c>
      <c r="V97" s="33">
        <v>7.9447685185185204</v>
      </c>
      <c r="W97" s="33">
        <v>28</v>
      </c>
      <c r="X97" s="33">
        <v>2.5</v>
      </c>
      <c r="Y97" s="33">
        <v>2.5</v>
      </c>
      <c r="Z97" s="33">
        <v>0</v>
      </c>
      <c r="AA97" s="33">
        <v>1</v>
      </c>
      <c r="AC97" s="29"/>
    </row>
    <row r="98" spans="1:29" x14ac:dyDescent="0.25">
      <c r="A98" s="27" t="s">
        <v>308</v>
      </c>
      <c r="B98" s="27" t="s">
        <v>14</v>
      </c>
      <c r="C98" s="27" t="s">
        <v>16</v>
      </c>
      <c r="D98" s="27" t="s">
        <v>154</v>
      </c>
      <c r="E98" s="27" t="s">
        <v>21</v>
      </c>
      <c r="F98" s="27" t="s">
        <v>505</v>
      </c>
      <c r="G98" s="27" t="s">
        <v>509</v>
      </c>
      <c r="H98" s="27" t="s">
        <v>513</v>
      </c>
      <c r="I98" s="27" t="s">
        <v>516</v>
      </c>
      <c r="J98" s="27" t="s">
        <v>516</v>
      </c>
      <c r="K98" s="27" t="s">
        <v>529</v>
      </c>
      <c r="L98" s="27" t="s">
        <v>539</v>
      </c>
      <c r="M98" s="30">
        <v>42262</v>
      </c>
      <c r="N98" s="30"/>
      <c r="O98" s="30"/>
      <c r="P98" s="27" t="s">
        <v>101</v>
      </c>
      <c r="Q98" s="32">
        <v>1</v>
      </c>
      <c r="R98" s="32">
        <v>0.42870370370370398</v>
      </c>
      <c r="S98" s="32">
        <v>0.42870370370370398</v>
      </c>
      <c r="T98" s="32">
        <v>0</v>
      </c>
      <c r="U98" s="32">
        <v>1</v>
      </c>
      <c r="V98" s="32">
        <v>0.32424768518518499</v>
      </c>
      <c r="W98" s="32">
        <v>28</v>
      </c>
      <c r="X98" s="32">
        <v>0.5</v>
      </c>
      <c r="Y98" s="32">
        <v>0.5</v>
      </c>
      <c r="Z98" s="32">
        <v>0</v>
      </c>
      <c r="AA98" s="32">
        <v>1</v>
      </c>
      <c r="AC98" s="29"/>
    </row>
    <row r="99" spans="1:29" x14ac:dyDescent="0.25">
      <c r="A99" s="28" t="s">
        <v>309</v>
      </c>
      <c r="B99" s="28" t="s">
        <v>14</v>
      </c>
      <c r="C99" s="28" t="s">
        <v>15</v>
      </c>
      <c r="D99" s="28" t="s">
        <v>154</v>
      </c>
      <c r="E99" s="28" t="s">
        <v>21</v>
      </c>
      <c r="F99" s="28" t="s">
        <v>506</v>
      </c>
      <c r="G99" s="28" t="s">
        <v>511</v>
      </c>
      <c r="H99" s="28" t="s">
        <v>513</v>
      </c>
      <c r="I99" s="28" t="s">
        <v>516</v>
      </c>
      <c r="J99" s="28" t="s">
        <v>516</v>
      </c>
      <c r="K99" s="28" t="s">
        <v>529</v>
      </c>
      <c r="L99" s="28" t="s">
        <v>539</v>
      </c>
      <c r="M99" s="31">
        <v>42268</v>
      </c>
      <c r="N99" s="31"/>
      <c r="O99" s="31"/>
      <c r="P99" s="28" t="s">
        <v>113</v>
      </c>
      <c r="Q99" s="33">
        <v>1</v>
      </c>
      <c r="R99" s="33">
        <v>23.918888888888901</v>
      </c>
      <c r="S99" s="33">
        <v>23.918888888888901</v>
      </c>
      <c r="T99" s="33">
        <v>0</v>
      </c>
      <c r="U99" s="33">
        <v>1</v>
      </c>
      <c r="V99" s="33">
        <v>23.9180439814815</v>
      </c>
      <c r="W99" s="33">
        <v>140</v>
      </c>
      <c r="X99" s="33">
        <v>0.75</v>
      </c>
      <c r="Y99" s="33">
        <v>0.75</v>
      </c>
      <c r="Z99" s="33">
        <v>0</v>
      </c>
      <c r="AA99" s="33">
        <v>1</v>
      </c>
      <c r="AC99" s="29"/>
    </row>
    <row r="100" spans="1:29" x14ac:dyDescent="0.25">
      <c r="A100" s="27" t="s">
        <v>310</v>
      </c>
      <c r="B100" s="27" t="s">
        <v>19</v>
      </c>
      <c r="C100" s="27" t="s">
        <v>13</v>
      </c>
      <c r="D100" s="27" t="s">
        <v>154</v>
      </c>
      <c r="E100" s="27" t="s">
        <v>21</v>
      </c>
      <c r="F100" s="27" t="s">
        <v>505</v>
      </c>
      <c r="G100" s="27" t="s">
        <v>512</v>
      </c>
      <c r="H100" s="27" t="s">
        <v>513</v>
      </c>
      <c r="I100" s="27" t="s">
        <v>517</v>
      </c>
      <c r="J100" s="27" t="s">
        <v>520</v>
      </c>
      <c r="K100" s="27" t="s">
        <v>529</v>
      </c>
      <c r="L100" s="27" t="s">
        <v>539</v>
      </c>
      <c r="M100" s="30">
        <v>42270</v>
      </c>
      <c r="N100" s="30">
        <v>42270</v>
      </c>
      <c r="O100" s="30">
        <v>42277</v>
      </c>
      <c r="P100" s="27" t="s">
        <v>107</v>
      </c>
      <c r="Q100" s="32">
        <v>1</v>
      </c>
      <c r="R100" s="32">
        <v>14.915775462962999</v>
      </c>
      <c r="S100" s="32">
        <v>14.915775462962999</v>
      </c>
      <c r="T100" s="32">
        <v>1</v>
      </c>
      <c r="U100" s="32">
        <v>1</v>
      </c>
      <c r="V100" s="32">
        <v>14.770208333333301</v>
      </c>
      <c r="W100" s="32">
        <v>56</v>
      </c>
      <c r="X100" s="32">
        <v>20</v>
      </c>
      <c r="Y100" s="32">
        <v>0</v>
      </c>
      <c r="Z100" s="32">
        <v>20</v>
      </c>
      <c r="AA100" s="32">
        <v>1</v>
      </c>
      <c r="AC100" s="29"/>
    </row>
    <row r="101" spans="1:29" x14ac:dyDescent="0.25">
      <c r="A101" s="28" t="s">
        <v>311</v>
      </c>
      <c r="B101" s="28" t="s">
        <v>19</v>
      </c>
      <c r="C101" s="28" t="s">
        <v>13</v>
      </c>
      <c r="D101" s="28" t="s">
        <v>154</v>
      </c>
      <c r="E101" s="28" t="s">
        <v>21</v>
      </c>
      <c r="F101" s="28" t="s">
        <v>506</v>
      </c>
      <c r="G101" s="28" t="s">
        <v>511</v>
      </c>
      <c r="H101" s="28" t="s">
        <v>513</v>
      </c>
      <c r="I101" s="28" t="s">
        <v>517</v>
      </c>
      <c r="J101" s="28" t="s">
        <v>522</v>
      </c>
      <c r="K101" s="28" t="s">
        <v>529</v>
      </c>
      <c r="L101" s="28" t="s">
        <v>539</v>
      </c>
      <c r="M101" s="31">
        <v>42270</v>
      </c>
      <c r="N101" s="31">
        <v>42270</v>
      </c>
      <c r="O101" s="31">
        <v>42276</v>
      </c>
      <c r="P101" s="28" t="s">
        <v>102</v>
      </c>
      <c r="Q101" s="33">
        <v>1</v>
      </c>
      <c r="R101" s="33">
        <v>14.913229166666699</v>
      </c>
      <c r="S101" s="33">
        <v>14.913229166666699</v>
      </c>
      <c r="T101" s="33">
        <v>1</v>
      </c>
      <c r="U101" s="33">
        <v>1</v>
      </c>
      <c r="V101" s="33">
        <v>14.766365740740699</v>
      </c>
      <c r="W101" s="33">
        <v>56</v>
      </c>
      <c r="X101" s="33">
        <v>16</v>
      </c>
      <c r="Y101" s="33">
        <v>0</v>
      </c>
      <c r="Z101" s="33">
        <v>16</v>
      </c>
      <c r="AA101" s="33">
        <v>1</v>
      </c>
      <c r="AC101" s="29"/>
    </row>
    <row r="102" spans="1:29" x14ac:dyDescent="0.25">
      <c r="A102" s="27" t="s">
        <v>312</v>
      </c>
      <c r="B102" s="27" t="s">
        <v>14</v>
      </c>
      <c r="C102" s="27" t="s">
        <v>16</v>
      </c>
      <c r="D102" s="27" t="s">
        <v>154</v>
      </c>
      <c r="E102" s="27" t="s">
        <v>21</v>
      </c>
      <c r="F102" s="27" t="s">
        <v>506</v>
      </c>
      <c r="G102" s="27" t="s">
        <v>511</v>
      </c>
      <c r="H102" s="27" t="s">
        <v>513</v>
      </c>
      <c r="I102" s="27" t="s">
        <v>516</v>
      </c>
      <c r="J102" s="27" t="s">
        <v>516</v>
      </c>
      <c r="K102" s="27" t="s">
        <v>529</v>
      </c>
      <c r="L102" s="27" t="s">
        <v>539</v>
      </c>
      <c r="M102" s="30">
        <v>42271</v>
      </c>
      <c r="N102" s="30"/>
      <c r="O102" s="30"/>
      <c r="P102" s="27" t="s">
        <v>107</v>
      </c>
      <c r="Q102" s="32">
        <v>1</v>
      </c>
      <c r="R102" s="32">
        <v>0.88123842592592605</v>
      </c>
      <c r="S102" s="32">
        <v>0.88123842592592605</v>
      </c>
      <c r="T102" s="32">
        <v>0</v>
      </c>
      <c r="U102" s="32">
        <v>1</v>
      </c>
      <c r="V102" s="32">
        <v>0.87924768518518504</v>
      </c>
      <c r="W102" s="32">
        <v>28</v>
      </c>
      <c r="X102" s="32">
        <v>2</v>
      </c>
      <c r="Y102" s="32">
        <v>2</v>
      </c>
      <c r="Z102" s="32">
        <v>0</v>
      </c>
      <c r="AA102" s="32">
        <v>1</v>
      </c>
      <c r="AC102" s="29"/>
    </row>
    <row r="103" spans="1:29" x14ac:dyDescent="0.25">
      <c r="A103" s="28" t="s">
        <v>313</v>
      </c>
      <c r="B103" s="28" t="s">
        <v>14</v>
      </c>
      <c r="C103" s="28" t="s">
        <v>13</v>
      </c>
      <c r="D103" s="28" t="s">
        <v>154</v>
      </c>
      <c r="E103" s="28" t="s">
        <v>21</v>
      </c>
      <c r="F103" s="28" t="s">
        <v>505</v>
      </c>
      <c r="G103" s="28" t="s">
        <v>509</v>
      </c>
      <c r="H103" s="28" t="s">
        <v>513</v>
      </c>
      <c r="I103" s="28" t="s">
        <v>516</v>
      </c>
      <c r="J103" s="28" t="s">
        <v>516</v>
      </c>
      <c r="K103" s="28" t="s">
        <v>529</v>
      </c>
      <c r="L103" s="28" t="s">
        <v>539</v>
      </c>
      <c r="M103" s="31">
        <v>42275</v>
      </c>
      <c r="N103" s="31"/>
      <c r="O103" s="31"/>
      <c r="P103" s="28" t="s">
        <v>102</v>
      </c>
      <c r="Q103" s="33">
        <v>1</v>
      </c>
      <c r="R103" s="33">
        <v>1.6770023148148201</v>
      </c>
      <c r="S103" s="33">
        <v>1.6770023148148201</v>
      </c>
      <c r="T103" s="33">
        <v>0</v>
      </c>
      <c r="U103" s="33">
        <v>1</v>
      </c>
      <c r="V103" s="33">
        <v>0.98250000000000004</v>
      </c>
      <c r="W103" s="33">
        <v>56</v>
      </c>
      <c r="X103" s="33">
        <v>4</v>
      </c>
      <c r="Y103" s="33">
        <v>4</v>
      </c>
      <c r="Z103" s="33">
        <v>0</v>
      </c>
      <c r="AA103" s="33">
        <v>1</v>
      </c>
      <c r="AC103" s="29"/>
    </row>
    <row r="104" spans="1:29" x14ac:dyDescent="0.25">
      <c r="A104" s="27" t="s">
        <v>314</v>
      </c>
      <c r="B104" s="27" t="s">
        <v>14</v>
      </c>
      <c r="C104" s="27" t="s">
        <v>13</v>
      </c>
      <c r="D104" s="27" t="s">
        <v>154</v>
      </c>
      <c r="E104" s="27" t="s">
        <v>21</v>
      </c>
      <c r="F104" s="27" t="s">
        <v>506</v>
      </c>
      <c r="G104" s="27" t="s">
        <v>510</v>
      </c>
      <c r="H104" s="27" t="s">
        <v>513</v>
      </c>
      <c r="I104" s="27" t="s">
        <v>516</v>
      </c>
      <c r="J104" s="27" t="s">
        <v>516</v>
      </c>
      <c r="K104" s="27" t="s">
        <v>529</v>
      </c>
      <c r="L104" s="27" t="s">
        <v>539</v>
      </c>
      <c r="M104" s="30">
        <v>42276</v>
      </c>
      <c r="N104" s="30"/>
      <c r="O104" s="30"/>
      <c r="P104" s="27" t="s">
        <v>101</v>
      </c>
      <c r="Q104" s="32">
        <v>1</v>
      </c>
      <c r="R104" s="32">
        <v>10.194432870370401</v>
      </c>
      <c r="S104" s="32">
        <v>10.194432870370401</v>
      </c>
      <c r="T104" s="32">
        <v>0</v>
      </c>
      <c r="U104" s="32">
        <v>1</v>
      </c>
      <c r="V104" s="32">
        <v>6.06820601851852</v>
      </c>
      <c r="W104" s="32">
        <v>56</v>
      </c>
      <c r="X104" s="32">
        <v>3.25</v>
      </c>
      <c r="Y104" s="32">
        <v>3.25</v>
      </c>
      <c r="Z104" s="32">
        <v>0</v>
      </c>
      <c r="AA104" s="32">
        <v>1</v>
      </c>
      <c r="AC104" s="29"/>
    </row>
    <row r="105" spans="1:29" x14ac:dyDescent="0.25">
      <c r="A105" s="28" t="s">
        <v>315</v>
      </c>
      <c r="B105" s="28" t="s">
        <v>14</v>
      </c>
      <c r="C105" s="28" t="s">
        <v>13</v>
      </c>
      <c r="D105" s="28" t="s">
        <v>154</v>
      </c>
      <c r="E105" s="28" t="s">
        <v>21</v>
      </c>
      <c r="F105" s="28" t="s">
        <v>505</v>
      </c>
      <c r="G105" s="28" t="s">
        <v>509</v>
      </c>
      <c r="H105" s="28" t="s">
        <v>513</v>
      </c>
      <c r="I105" s="28" t="s">
        <v>516</v>
      </c>
      <c r="J105" s="28" t="s">
        <v>516</v>
      </c>
      <c r="K105" s="28" t="s">
        <v>529</v>
      </c>
      <c r="L105" s="28" t="s">
        <v>539</v>
      </c>
      <c r="M105" s="31">
        <v>42276</v>
      </c>
      <c r="N105" s="31"/>
      <c r="O105" s="31"/>
      <c r="P105" s="28" t="s">
        <v>101</v>
      </c>
      <c r="Q105" s="33">
        <v>1</v>
      </c>
      <c r="R105" s="33">
        <v>10.190763888888901</v>
      </c>
      <c r="S105" s="33">
        <v>10.190763888888901</v>
      </c>
      <c r="T105" s="33">
        <v>0</v>
      </c>
      <c r="U105" s="33">
        <v>1</v>
      </c>
      <c r="V105" s="33">
        <v>6.0615740740740698</v>
      </c>
      <c r="W105" s="33">
        <v>56</v>
      </c>
      <c r="X105" s="33">
        <v>2.75</v>
      </c>
      <c r="Y105" s="33">
        <v>2.75</v>
      </c>
      <c r="Z105" s="33">
        <v>0</v>
      </c>
      <c r="AA105" s="33">
        <v>1</v>
      </c>
      <c r="AC105" s="29"/>
    </row>
    <row r="106" spans="1:29" x14ac:dyDescent="0.25">
      <c r="A106" s="27" t="s">
        <v>316</v>
      </c>
      <c r="B106" s="27" t="s">
        <v>19</v>
      </c>
      <c r="C106" s="27" t="s">
        <v>16</v>
      </c>
      <c r="D106" s="27" t="s">
        <v>154</v>
      </c>
      <c r="E106" s="27" t="s">
        <v>21</v>
      </c>
      <c r="F106" s="27" t="s">
        <v>506</v>
      </c>
      <c r="G106" s="27" t="s">
        <v>511</v>
      </c>
      <c r="H106" s="27" t="s">
        <v>514</v>
      </c>
      <c r="I106" s="27" t="s">
        <v>517</v>
      </c>
      <c r="J106" s="27" t="s">
        <v>520</v>
      </c>
      <c r="K106" s="27" t="s">
        <v>529</v>
      </c>
      <c r="L106" s="27" t="s">
        <v>539</v>
      </c>
      <c r="M106" s="30">
        <v>42276</v>
      </c>
      <c r="N106" s="30">
        <v>42277</v>
      </c>
      <c r="O106" s="30">
        <v>42291</v>
      </c>
      <c r="P106" s="27" t="s">
        <v>117</v>
      </c>
      <c r="Q106" s="32">
        <v>1</v>
      </c>
      <c r="R106" s="32">
        <v>14.1277777777778</v>
      </c>
      <c r="S106" s="32">
        <v>14.1277777777778</v>
      </c>
      <c r="T106" s="32">
        <v>1</v>
      </c>
      <c r="U106" s="32">
        <v>1</v>
      </c>
      <c r="V106" s="32">
        <v>14.126666666666701</v>
      </c>
      <c r="W106" s="32">
        <v>28</v>
      </c>
      <c r="X106" s="32">
        <v>25.5</v>
      </c>
      <c r="Y106" s="32">
        <v>5.5</v>
      </c>
      <c r="Z106" s="32">
        <v>20</v>
      </c>
      <c r="AA106" s="32">
        <v>1</v>
      </c>
      <c r="AC106" s="29"/>
    </row>
    <row r="107" spans="1:29" x14ac:dyDescent="0.25">
      <c r="A107" s="28" t="s">
        <v>317</v>
      </c>
      <c r="B107" s="28" t="s">
        <v>14</v>
      </c>
      <c r="C107" s="28" t="s">
        <v>16</v>
      </c>
      <c r="D107" s="28" t="s">
        <v>154</v>
      </c>
      <c r="E107" s="28" t="s">
        <v>21</v>
      </c>
      <c r="F107" s="28" t="s">
        <v>505</v>
      </c>
      <c r="G107" s="28" t="s">
        <v>509</v>
      </c>
      <c r="H107" s="28" t="s">
        <v>513</v>
      </c>
      <c r="I107" s="28" t="s">
        <v>516</v>
      </c>
      <c r="J107" s="28" t="s">
        <v>516</v>
      </c>
      <c r="K107" s="28" t="s">
        <v>529</v>
      </c>
      <c r="L107" s="28" t="s">
        <v>539</v>
      </c>
      <c r="M107" s="31">
        <v>42278</v>
      </c>
      <c r="N107" s="31"/>
      <c r="O107" s="31"/>
      <c r="P107" s="28" t="s">
        <v>102</v>
      </c>
      <c r="Q107" s="33">
        <v>1</v>
      </c>
      <c r="R107" s="33">
        <v>2.3981481481481501</v>
      </c>
      <c r="S107" s="33">
        <v>2.3981481481481501</v>
      </c>
      <c r="T107" s="33">
        <v>0</v>
      </c>
      <c r="U107" s="33">
        <v>1</v>
      </c>
      <c r="V107" s="33">
        <v>0.24312500000000001</v>
      </c>
      <c r="W107" s="33">
        <v>28</v>
      </c>
      <c r="X107" s="33">
        <v>3</v>
      </c>
      <c r="Y107" s="33">
        <v>3</v>
      </c>
      <c r="Z107" s="33">
        <v>0</v>
      </c>
      <c r="AA107" s="33">
        <v>1</v>
      </c>
      <c r="AC107" s="29"/>
    </row>
    <row r="108" spans="1:29" x14ac:dyDescent="0.25">
      <c r="A108" s="27" t="s">
        <v>318</v>
      </c>
      <c r="B108" s="27" t="s">
        <v>14</v>
      </c>
      <c r="C108" s="27" t="s">
        <v>16</v>
      </c>
      <c r="D108" s="27" t="s">
        <v>154</v>
      </c>
      <c r="E108" s="27" t="s">
        <v>21</v>
      </c>
      <c r="F108" s="27" t="s">
        <v>505</v>
      </c>
      <c r="G108" s="27" t="s">
        <v>509</v>
      </c>
      <c r="H108" s="27" t="s">
        <v>513</v>
      </c>
      <c r="I108" s="27" t="s">
        <v>516</v>
      </c>
      <c r="J108" s="27" t="s">
        <v>516</v>
      </c>
      <c r="K108" s="27" t="s">
        <v>529</v>
      </c>
      <c r="L108" s="27" t="s">
        <v>539</v>
      </c>
      <c r="M108" s="30">
        <v>42280</v>
      </c>
      <c r="N108" s="30"/>
      <c r="O108" s="30"/>
      <c r="P108" s="27" t="s">
        <v>102</v>
      </c>
      <c r="Q108" s="32">
        <v>1</v>
      </c>
      <c r="R108" s="32">
        <v>0.20863425925925899</v>
      </c>
      <c r="S108" s="32">
        <v>0.20863425925925899</v>
      </c>
      <c r="T108" s="32">
        <v>0</v>
      </c>
      <c r="U108" s="32">
        <v>1</v>
      </c>
      <c r="V108" s="32">
        <v>0.20334490740740699</v>
      </c>
      <c r="W108" s="32">
        <v>28</v>
      </c>
      <c r="X108" s="32">
        <v>3.5</v>
      </c>
      <c r="Y108" s="32">
        <v>3.5</v>
      </c>
      <c r="Z108" s="32">
        <v>0</v>
      </c>
      <c r="AA108" s="32">
        <v>1</v>
      </c>
      <c r="AC108" s="29"/>
    </row>
    <row r="109" spans="1:29" x14ac:dyDescent="0.25">
      <c r="A109" s="28" t="s">
        <v>319</v>
      </c>
      <c r="B109" s="28" t="s">
        <v>14</v>
      </c>
      <c r="C109" s="28" t="s">
        <v>16</v>
      </c>
      <c r="D109" s="28" t="s">
        <v>154</v>
      </c>
      <c r="E109" s="28" t="s">
        <v>21</v>
      </c>
      <c r="F109" s="28" t="s">
        <v>505</v>
      </c>
      <c r="G109" s="28" t="s">
        <v>509</v>
      </c>
      <c r="H109" s="28" t="s">
        <v>513</v>
      </c>
      <c r="I109" s="28" t="s">
        <v>516</v>
      </c>
      <c r="J109" s="28" t="s">
        <v>516</v>
      </c>
      <c r="K109" s="28" t="s">
        <v>529</v>
      </c>
      <c r="L109" s="28" t="s">
        <v>539</v>
      </c>
      <c r="M109" s="31">
        <v>42284</v>
      </c>
      <c r="N109" s="31"/>
      <c r="O109" s="31"/>
      <c r="P109" s="28" t="s">
        <v>102</v>
      </c>
      <c r="Q109" s="33">
        <v>1</v>
      </c>
      <c r="R109" s="33">
        <v>0.328969907407407</v>
      </c>
      <c r="S109" s="33">
        <v>0.328969907407407</v>
      </c>
      <c r="T109" s="33">
        <v>0</v>
      </c>
      <c r="U109" s="33">
        <v>1</v>
      </c>
      <c r="V109" s="33">
        <v>0.32747685185185199</v>
      </c>
      <c r="W109" s="33">
        <v>28</v>
      </c>
      <c r="X109" s="33">
        <v>2.5</v>
      </c>
      <c r="Y109" s="33">
        <v>2.5</v>
      </c>
      <c r="Z109" s="33">
        <v>0</v>
      </c>
      <c r="AA109" s="33">
        <v>1</v>
      </c>
      <c r="AC109" s="29"/>
    </row>
    <row r="110" spans="1:29" x14ac:dyDescent="0.25">
      <c r="A110" s="27" t="s">
        <v>320</v>
      </c>
      <c r="B110" s="27" t="s">
        <v>14</v>
      </c>
      <c r="C110" s="27" t="s">
        <v>17</v>
      </c>
      <c r="D110" s="27" t="s">
        <v>154</v>
      </c>
      <c r="E110" s="27" t="s">
        <v>21</v>
      </c>
      <c r="F110" s="27" t="s">
        <v>506</v>
      </c>
      <c r="G110" s="27" t="s">
        <v>511</v>
      </c>
      <c r="H110" s="27" t="s">
        <v>513</v>
      </c>
      <c r="I110" s="27" t="s">
        <v>517</v>
      </c>
      <c r="J110" s="27" t="s">
        <v>520</v>
      </c>
      <c r="K110" s="27" t="s">
        <v>529</v>
      </c>
      <c r="L110" s="27" t="s">
        <v>539</v>
      </c>
      <c r="M110" s="30">
        <v>42286</v>
      </c>
      <c r="N110" s="30">
        <v>42286</v>
      </c>
      <c r="O110" s="30">
        <v>42286</v>
      </c>
      <c r="P110" s="27" t="s">
        <v>102</v>
      </c>
      <c r="Q110" s="32">
        <v>1</v>
      </c>
      <c r="R110" s="32">
        <v>0.47506944444444399</v>
      </c>
      <c r="S110" s="32">
        <v>0.47506944444444399</v>
      </c>
      <c r="T110" s="32">
        <v>1</v>
      </c>
      <c r="U110" s="32">
        <v>1</v>
      </c>
      <c r="V110" s="32">
        <v>8.1018518518518503E-5</v>
      </c>
      <c r="W110" s="32">
        <v>3</v>
      </c>
      <c r="X110" s="32">
        <v>7</v>
      </c>
      <c r="Y110" s="32">
        <v>3</v>
      </c>
      <c r="Z110" s="32">
        <v>4</v>
      </c>
      <c r="AA110" s="32">
        <v>1</v>
      </c>
      <c r="AC110" s="29"/>
    </row>
    <row r="111" spans="1:29" x14ac:dyDescent="0.25">
      <c r="A111" s="28" t="s">
        <v>321</v>
      </c>
      <c r="B111" s="28" t="s">
        <v>14</v>
      </c>
      <c r="C111" s="28" t="s">
        <v>16</v>
      </c>
      <c r="D111" s="28" t="s">
        <v>154</v>
      </c>
      <c r="E111" s="28" t="s">
        <v>21</v>
      </c>
      <c r="F111" s="28" t="s">
        <v>505</v>
      </c>
      <c r="G111" s="28" t="s">
        <v>509</v>
      </c>
      <c r="H111" s="28" t="s">
        <v>513</v>
      </c>
      <c r="I111" s="28" t="s">
        <v>516</v>
      </c>
      <c r="J111" s="28" t="s">
        <v>516</v>
      </c>
      <c r="K111" s="28" t="s">
        <v>529</v>
      </c>
      <c r="L111" s="28" t="s">
        <v>539</v>
      </c>
      <c r="M111" s="31">
        <v>42286</v>
      </c>
      <c r="N111" s="31"/>
      <c r="O111" s="31"/>
      <c r="P111" s="28" t="s">
        <v>102</v>
      </c>
      <c r="Q111" s="33">
        <v>1</v>
      </c>
      <c r="R111" s="33">
        <v>9.5995370370370398E-2</v>
      </c>
      <c r="S111" s="33">
        <v>9.5995370370370398E-2</v>
      </c>
      <c r="T111" s="33">
        <v>0</v>
      </c>
      <c r="U111" s="33">
        <v>1</v>
      </c>
      <c r="V111" s="33">
        <v>9.5011574074074095E-2</v>
      </c>
      <c r="W111" s="33">
        <v>28</v>
      </c>
      <c r="X111" s="33">
        <v>2</v>
      </c>
      <c r="Y111" s="33">
        <v>2</v>
      </c>
      <c r="Z111" s="33">
        <v>0</v>
      </c>
      <c r="AA111" s="33">
        <v>1</v>
      </c>
      <c r="AC111" s="29"/>
    </row>
    <row r="112" spans="1:29" x14ac:dyDescent="0.25">
      <c r="A112" s="27" t="s">
        <v>322</v>
      </c>
      <c r="B112" s="27" t="s">
        <v>14</v>
      </c>
      <c r="C112" s="27" t="s">
        <v>13</v>
      </c>
      <c r="D112" s="27" t="s">
        <v>75</v>
      </c>
      <c r="E112" s="27" t="s">
        <v>28</v>
      </c>
      <c r="F112" s="27" t="s">
        <v>506</v>
      </c>
      <c r="G112" s="27" t="s">
        <v>510</v>
      </c>
      <c r="H112" s="27" t="s">
        <v>513</v>
      </c>
      <c r="I112" s="27" t="s">
        <v>517</v>
      </c>
      <c r="J112" s="27" t="s">
        <v>523</v>
      </c>
      <c r="K112" s="27" t="s">
        <v>529</v>
      </c>
      <c r="L112" s="27" t="s">
        <v>539</v>
      </c>
      <c r="M112" s="30">
        <v>42290</v>
      </c>
      <c r="N112" s="30">
        <v>42290</v>
      </c>
      <c r="O112" s="30">
        <v>42293</v>
      </c>
      <c r="P112" s="27" t="s">
        <v>110</v>
      </c>
      <c r="Q112" s="32">
        <v>1</v>
      </c>
      <c r="R112" s="32">
        <v>54.904548611111103</v>
      </c>
      <c r="S112" s="32">
        <v>54.904548611111103</v>
      </c>
      <c r="T112" s="32">
        <v>1</v>
      </c>
      <c r="U112" s="32">
        <v>1</v>
      </c>
      <c r="V112" s="32">
        <v>7.0411574074074101</v>
      </c>
      <c r="W112" s="32">
        <v>20</v>
      </c>
      <c r="X112" s="32">
        <v>9</v>
      </c>
      <c r="Y112" s="32">
        <v>3</v>
      </c>
      <c r="Z112" s="32">
        <v>6</v>
      </c>
      <c r="AA112" s="32">
        <v>1</v>
      </c>
      <c r="AC112" s="29"/>
    </row>
    <row r="113" spans="1:29" x14ac:dyDescent="0.25">
      <c r="A113" s="28" t="s">
        <v>323</v>
      </c>
      <c r="B113" s="28" t="s">
        <v>14</v>
      </c>
      <c r="C113" s="28" t="s">
        <v>13</v>
      </c>
      <c r="D113" s="28" t="s">
        <v>154</v>
      </c>
      <c r="E113" s="28" t="s">
        <v>21</v>
      </c>
      <c r="F113" s="28" t="s">
        <v>506</v>
      </c>
      <c r="G113" s="28" t="s">
        <v>510</v>
      </c>
      <c r="H113" s="28" t="s">
        <v>513</v>
      </c>
      <c r="I113" s="28" t="s">
        <v>517</v>
      </c>
      <c r="J113" s="28" t="s">
        <v>522</v>
      </c>
      <c r="K113" s="28" t="s">
        <v>529</v>
      </c>
      <c r="L113" s="28" t="s">
        <v>539</v>
      </c>
      <c r="M113" s="31">
        <v>42290</v>
      </c>
      <c r="N113" s="31">
        <v>42291</v>
      </c>
      <c r="O113" s="31">
        <v>42306</v>
      </c>
      <c r="P113" s="28" t="s">
        <v>102</v>
      </c>
      <c r="Q113" s="33">
        <v>1</v>
      </c>
      <c r="R113" s="33">
        <v>15.9749652777778</v>
      </c>
      <c r="S113" s="33">
        <v>15.9749652777778</v>
      </c>
      <c r="T113" s="33">
        <v>1</v>
      </c>
      <c r="U113" s="33">
        <v>1</v>
      </c>
      <c r="V113" s="33">
        <v>15.9729282407407</v>
      </c>
      <c r="W113" s="33">
        <v>56</v>
      </c>
      <c r="X113" s="33">
        <v>25.25</v>
      </c>
      <c r="Y113" s="33">
        <v>5.25</v>
      </c>
      <c r="Z113" s="33">
        <v>20</v>
      </c>
      <c r="AA113" s="33">
        <v>1</v>
      </c>
      <c r="AC113" s="29"/>
    </row>
    <row r="114" spans="1:29" x14ac:dyDescent="0.25">
      <c r="A114" s="27" t="s">
        <v>324</v>
      </c>
      <c r="B114" s="27" t="s">
        <v>14</v>
      </c>
      <c r="C114" s="27" t="s">
        <v>13</v>
      </c>
      <c r="D114" s="27" t="s">
        <v>154</v>
      </c>
      <c r="E114" s="27" t="s">
        <v>21</v>
      </c>
      <c r="F114" s="27" t="s">
        <v>505</v>
      </c>
      <c r="G114" s="27" t="s">
        <v>509</v>
      </c>
      <c r="H114" s="27" t="s">
        <v>513</v>
      </c>
      <c r="I114" s="27" t="s">
        <v>517</v>
      </c>
      <c r="J114" s="27" t="s">
        <v>520</v>
      </c>
      <c r="K114" s="27" t="s">
        <v>529</v>
      </c>
      <c r="L114" s="27" t="s">
        <v>539</v>
      </c>
      <c r="M114" s="30">
        <v>42290</v>
      </c>
      <c r="N114" s="30">
        <v>42290</v>
      </c>
      <c r="O114" s="30">
        <v>42293</v>
      </c>
      <c r="P114" s="27" t="s">
        <v>102</v>
      </c>
      <c r="Q114" s="32">
        <v>1</v>
      </c>
      <c r="R114" s="32">
        <v>8.1676273148148208</v>
      </c>
      <c r="S114" s="32">
        <v>14.285578703703701</v>
      </c>
      <c r="T114" s="32">
        <v>1</v>
      </c>
      <c r="U114" s="32">
        <v>1</v>
      </c>
      <c r="V114" s="32">
        <v>8.1673726851851907</v>
      </c>
      <c r="W114" s="32">
        <v>56</v>
      </c>
      <c r="X114" s="32">
        <v>27.5</v>
      </c>
      <c r="Y114" s="32">
        <v>7.5</v>
      </c>
      <c r="Z114" s="32">
        <v>20</v>
      </c>
      <c r="AA114" s="32">
        <v>1</v>
      </c>
      <c r="AC114" s="29"/>
    </row>
    <row r="115" spans="1:29" x14ac:dyDescent="0.25">
      <c r="A115" s="28" t="s">
        <v>325</v>
      </c>
      <c r="B115" s="28" t="s">
        <v>14</v>
      </c>
      <c r="C115" s="28" t="s">
        <v>15</v>
      </c>
      <c r="D115" s="28" t="s">
        <v>154</v>
      </c>
      <c r="E115" s="28" t="s">
        <v>21</v>
      </c>
      <c r="F115" s="28" t="s">
        <v>506</v>
      </c>
      <c r="G115" s="28" t="s">
        <v>511</v>
      </c>
      <c r="H115" s="28" t="s">
        <v>513</v>
      </c>
      <c r="I115" s="28" t="s">
        <v>517</v>
      </c>
      <c r="J115" s="28" t="s">
        <v>522</v>
      </c>
      <c r="K115" s="28" t="s">
        <v>529</v>
      </c>
      <c r="L115" s="28" t="s">
        <v>539</v>
      </c>
      <c r="M115" s="31">
        <v>42296</v>
      </c>
      <c r="N115" s="31">
        <v>42311</v>
      </c>
      <c r="O115" s="31">
        <v>42342</v>
      </c>
      <c r="P115" s="28" t="s">
        <v>106</v>
      </c>
      <c r="Q115" s="33">
        <v>1</v>
      </c>
      <c r="R115" s="33">
        <v>81.097800925925895</v>
      </c>
      <c r="S115" s="33">
        <v>81.097800925925895</v>
      </c>
      <c r="T115" s="33">
        <v>1</v>
      </c>
      <c r="U115" s="33">
        <v>1</v>
      </c>
      <c r="V115" s="33">
        <v>45.841354166666697</v>
      </c>
      <c r="W115" s="33">
        <v>140</v>
      </c>
      <c r="X115" s="33">
        <v>18</v>
      </c>
      <c r="Y115" s="33">
        <v>3</v>
      </c>
      <c r="Z115" s="33">
        <v>15</v>
      </c>
      <c r="AA115" s="33">
        <v>1</v>
      </c>
      <c r="AC115" s="29"/>
    </row>
    <row r="116" spans="1:29" x14ac:dyDescent="0.25">
      <c r="A116" s="27" t="s">
        <v>326</v>
      </c>
      <c r="B116" s="27" t="s">
        <v>14</v>
      </c>
      <c r="C116" s="27" t="s">
        <v>17</v>
      </c>
      <c r="D116" s="27" t="s">
        <v>154</v>
      </c>
      <c r="E116" s="27" t="s">
        <v>21</v>
      </c>
      <c r="F116" s="27" t="s">
        <v>505</v>
      </c>
      <c r="G116" s="27" t="s">
        <v>509</v>
      </c>
      <c r="H116" s="27" t="s">
        <v>513</v>
      </c>
      <c r="I116" s="27" t="s">
        <v>518</v>
      </c>
      <c r="J116" s="27" t="s">
        <v>525</v>
      </c>
      <c r="K116" s="27" t="s">
        <v>529</v>
      </c>
      <c r="L116" s="27" t="s">
        <v>539</v>
      </c>
      <c r="M116" s="30">
        <v>42297</v>
      </c>
      <c r="N116" s="30">
        <v>42297</v>
      </c>
      <c r="O116" s="30">
        <v>42297</v>
      </c>
      <c r="P116" s="27" t="s">
        <v>104</v>
      </c>
      <c r="Q116" s="32">
        <v>1</v>
      </c>
      <c r="R116" s="32">
        <v>0.109502314814815</v>
      </c>
      <c r="S116" s="32">
        <v>0.109502314814815</v>
      </c>
      <c r="T116" s="32">
        <v>1</v>
      </c>
      <c r="U116" s="32">
        <v>1</v>
      </c>
      <c r="V116" s="32">
        <v>0.108726851851852</v>
      </c>
      <c r="W116" s="32">
        <v>3</v>
      </c>
      <c r="X116" s="32">
        <v>2</v>
      </c>
      <c r="Y116" s="32">
        <v>2</v>
      </c>
      <c r="Z116" s="32">
        <v>0</v>
      </c>
      <c r="AA116" s="32">
        <v>1</v>
      </c>
      <c r="AC116" s="29"/>
    </row>
    <row r="117" spans="1:29" x14ac:dyDescent="0.25">
      <c r="A117" s="28" t="s">
        <v>327</v>
      </c>
      <c r="B117" s="28" t="s">
        <v>14</v>
      </c>
      <c r="C117" s="28" t="s">
        <v>16</v>
      </c>
      <c r="D117" s="28" t="s">
        <v>154</v>
      </c>
      <c r="E117" s="28" t="s">
        <v>21</v>
      </c>
      <c r="F117" s="28" t="s">
        <v>505</v>
      </c>
      <c r="G117" s="28" t="s">
        <v>509</v>
      </c>
      <c r="H117" s="28" t="s">
        <v>513</v>
      </c>
      <c r="I117" s="28" t="s">
        <v>516</v>
      </c>
      <c r="J117" s="28" t="s">
        <v>516</v>
      </c>
      <c r="K117" s="28" t="s">
        <v>529</v>
      </c>
      <c r="L117" s="28" t="s">
        <v>539</v>
      </c>
      <c r="M117" s="31">
        <v>42297</v>
      </c>
      <c r="N117" s="31"/>
      <c r="O117" s="31"/>
      <c r="P117" s="28" t="s">
        <v>104</v>
      </c>
      <c r="Q117" s="33">
        <v>1</v>
      </c>
      <c r="R117" s="33">
        <v>0.12503472222222201</v>
      </c>
      <c r="S117" s="33">
        <v>0.12503472222222201</v>
      </c>
      <c r="T117" s="33">
        <v>0</v>
      </c>
      <c r="U117" s="33">
        <v>1</v>
      </c>
      <c r="V117" s="33">
        <v>0.12149305555555601</v>
      </c>
      <c r="W117" s="33">
        <v>28</v>
      </c>
      <c r="X117" s="33">
        <v>8</v>
      </c>
      <c r="Y117" s="33">
        <v>8</v>
      </c>
      <c r="Z117" s="33">
        <v>0</v>
      </c>
      <c r="AA117" s="33">
        <v>1</v>
      </c>
      <c r="AC117" s="29"/>
    </row>
    <row r="118" spans="1:29" x14ac:dyDescent="0.25">
      <c r="A118" s="27" t="s">
        <v>328</v>
      </c>
      <c r="B118" s="27" t="s">
        <v>19</v>
      </c>
      <c r="C118" s="27" t="s">
        <v>13</v>
      </c>
      <c r="D118" s="27" t="s">
        <v>154</v>
      </c>
      <c r="E118" s="27" t="s">
        <v>21</v>
      </c>
      <c r="F118" s="27" t="s">
        <v>506</v>
      </c>
      <c r="G118" s="27" t="s">
        <v>511</v>
      </c>
      <c r="H118" s="27" t="s">
        <v>513</v>
      </c>
      <c r="I118" s="27" t="s">
        <v>517</v>
      </c>
      <c r="J118" s="27" t="s">
        <v>522</v>
      </c>
      <c r="K118" s="27" t="s">
        <v>529</v>
      </c>
      <c r="L118" s="27" t="s">
        <v>539</v>
      </c>
      <c r="M118" s="30">
        <v>42297</v>
      </c>
      <c r="N118" s="30">
        <v>42297</v>
      </c>
      <c r="O118" s="30">
        <v>42303</v>
      </c>
      <c r="P118" s="27" t="s">
        <v>104</v>
      </c>
      <c r="Q118" s="32">
        <v>1</v>
      </c>
      <c r="R118" s="32">
        <v>17.7367824074074</v>
      </c>
      <c r="S118" s="32">
        <v>17.7367824074074</v>
      </c>
      <c r="T118" s="32">
        <v>1</v>
      </c>
      <c r="U118" s="32">
        <v>1</v>
      </c>
      <c r="V118" s="32">
        <v>8.0484837962962992</v>
      </c>
      <c r="W118" s="32">
        <v>56</v>
      </c>
      <c r="X118" s="32">
        <v>21</v>
      </c>
      <c r="Y118" s="32">
        <v>1</v>
      </c>
      <c r="Z118" s="32">
        <v>20</v>
      </c>
      <c r="AA118" s="32">
        <v>1</v>
      </c>
      <c r="AC118" s="29"/>
    </row>
    <row r="119" spans="1:29" x14ac:dyDescent="0.25">
      <c r="A119" s="28" t="s">
        <v>329</v>
      </c>
      <c r="B119" s="28" t="s">
        <v>19</v>
      </c>
      <c r="C119" s="28" t="s">
        <v>13</v>
      </c>
      <c r="D119" s="28" t="s">
        <v>154</v>
      </c>
      <c r="E119" s="28" t="s">
        <v>21</v>
      </c>
      <c r="F119" s="28" t="s">
        <v>505</v>
      </c>
      <c r="G119" s="28" t="s">
        <v>512</v>
      </c>
      <c r="H119" s="28" t="s">
        <v>513</v>
      </c>
      <c r="I119" s="28" t="s">
        <v>516</v>
      </c>
      <c r="J119" s="28" t="s">
        <v>516</v>
      </c>
      <c r="K119" s="28" t="s">
        <v>529</v>
      </c>
      <c r="L119" s="28" t="s">
        <v>539</v>
      </c>
      <c r="M119" s="31">
        <v>42297</v>
      </c>
      <c r="N119" s="31"/>
      <c r="O119" s="31"/>
      <c r="P119" s="28" t="s">
        <v>102</v>
      </c>
      <c r="Q119" s="33">
        <v>1</v>
      </c>
      <c r="R119" s="33">
        <v>12.9962847222222</v>
      </c>
      <c r="S119" s="33">
        <v>12.9967013888889</v>
      </c>
      <c r="T119" s="33">
        <v>0</v>
      </c>
      <c r="U119" s="33">
        <v>1</v>
      </c>
      <c r="V119" s="33">
        <v>12.9940972222222</v>
      </c>
      <c r="W119" s="33">
        <v>56</v>
      </c>
      <c r="X119" s="33">
        <v>3</v>
      </c>
      <c r="Y119" s="33">
        <v>3</v>
      </c>
      <c r="Z119" s="33">
        <v>0</v>
      </c>
      <c r="AA119" s="33">
        <v>1</v>
      </c>
      <c r="AC119" s="29"/>
    </row>
    <row r="120" spans="1:29" x14ac:dyDescent="0.25">
      <c r="A120" s="27" t="s">
        <v>330</v>
      </c>
      <c r="B120" s="27" t="s">
        <v>19</v>
      </c>
      <c r="C120" s="27" t="s">
        <v>13</v>
      </c>
      <c r="D120" s="27" t="s">
        <v>154</v>
      </c>
      <c r="E120" s="27" t="s">
        <v>21</v>
      </c>
      <c r="F120" s="27" t="s">
        <v>505</v>
      </c>
      <c r="G120" s="27" t="s">
        <v>512</v>
      </c>
      <c r="H120" s="27" t="s">
        <v>513</v>
      </c>
      <c r="I120" s="27" t="s">
        <v>517</v>
      </c>
      <c r="J120" s="27" t="s">
        <v>522</v>
      </c>
      <c r="K120" s="27" t="s">
        <v>529</v>
      </c>
      <c r="L120" s="27" t="s">
        <v>539</v>
      </c>
      <c r="M120" s="30">
        <v>42297</v>
      </c>
      <c r="N120" s="30">
        <v>42298</v>
      </c>
      <c r="O120" s="30">
        <v>42320</v>
      </c>
      <c r="P120" s="27" t="s">
        <v>102</v>
      </c>
      <c r="Q120" s="32">
        <v>1</v>
      </c>
      <c r="R120" s="32">
        <v>14.168275462963001</v>
      </c>
      <c r="S120" s="32">
        <v>22.7745833333333</v>
      </c>
      <c r="T120" s="32">
        <v>1</v>
      </c>
      <c r="U120" s="32">
        <v>1</v>
      </c>
      <c r="V120" s="32">
        <v>14.1676967592593</v>
      </c>
      <c r="W120" s="32">
        <v>56</v>
      </c>
      <c r="X120" s="32">
        <v>38</v>
      </c>
      <c r="Y120" s="32">
        <v>6</v>
      </c>
      <c r="Z120" s="32">
        <v>32</v>
      </c>
      <c r="AA120" s="32">
        <v>1</v>
      </c>
      <c r="AC120" s="29"/>
    </row>
    <row r="121" spans="1:29" x14ac:dyDescent="0.25">
      <c r="A121" s="28" t="s">
        <v>331</v>
      </c>
      <c r="B121" s="28" t="s">
        <v>14</v>
      </c>
      <c r="C121" s="28" t="s">
        <v>16</v>
      </c>
      <c r="D121" s="28" t="s">
        <v>154</v>
      </c>
      <c r="E121" s="28" t="s">
        <v>21</v>
      </c>
      <c r="F121" s="28" t="s">
        <v>506</v>
      </c>
      <c r="G121" s="28" t="s">
        <v>510</v>
      </c>
      <c r="H121" s="28" t="s">
        <v>513</v>
      </c>
      <c r="I121" s="28" t="s">
        <v>516</v>
      </c>
      <c r="J121" s="28" t="s">
        <v>516</v>
      </c>
      <c r="K121" s="28" t="s">
        <v>529</v>
      </c>
      <c r="L121" s="28" t="s">
        <v>539</v>
      </c>
      <c r="M121" s="31">
        <v>42300</v>
      </c>
      <c r="N121" s="31"/>
      <c r="O121" s="31"/>
      <c r="P121" s="28" t="s">
        <v>113</v>
      </c>
      <c r="Q121" s="33">
        <v>1</v>
      </c>
      <c r="R121" s="33">
        <v>4.2766550925925904</v>
      </c>
      <c r="S121" s="33">
        <v>4.2766550925925904</v>
      </c>
      <c r="T121" s="33">
        <v>0</v>
      </c>
      <c r="U121" s="33">
        <v>1</v>
      </c>
      <c r="V121" s="33">
        <v>0.24641203703703701</v>
      </c>
      <c r="W121" s="33">
        <v>28</v>
      </c>
      <c r="X121" s="33">
        <v>6</v>
      </c>
      <c r="Y121" s="33">
        <v>6</v>
      </c>
      <c r="Z121" s="33">
        <v>0</v>
      </c>
      <c r="AA121" s="33">
        <v>1</v>
      </c>
      <c r="AC121" s="29"/>
    </row>
    <row r="122" spans="1:29" x14ac:dyDescent="0.25">
      <c r="A122" s="27" t="s">
        <v>332</v>
      </c>
      <c r="B122" s="27" t="s">
        <v>14</v>
      </c>
      <c r="C122" s="27" t="s">
        <v>13</v>
      </c>
      <c r="D122" s="27" t="s">
        <v>154</v>
      </c>
      <c r="E122" s="27" t="s">
        <v>21</v>
      </c>
      <c r="F122" s="27" t="s">
        <v>506</v>
      </c>
      <c r="G122" s="27" t="s">
        <v>510</v>
      </c>
      <c r="H122" s="27" t="s">
        <v>513</v>
      </c>
      <c r="I122" s="27" t="s">
        <v>516</v>
      </c>
      <c r="J122" s="27" t="s">
        <v>516</v>
      </c>
      <c r="K122" s="27" t="s">
        <v>529</v>
      </c>
      <c r="L122" s="27" t="s">
        <v>539</v>
      </c>
      <c r="M122" s="30">
        <v>42301</v>
      </c>
      <c r="N122" s="30"/>
      <c r="O122" s="30"/>
      <c r="P122" s="27" t="s">
        <v>101</v>
      </c>
      <c r="Q122" s="32">
        <v>1</v>
      </c>
      <c r="R122" s="32">
        <v>24.3699074074074</v>
      </c>
      <c r="S122" s="32">
        <v>24.3699074074074</v>
      </c>
      <c r="T122" s="32">
        <v>0</v>
      </c>
      <c r="U122" s="32">
        <v>1</v>
      </c>
      <c r="V122" s="32">
        <v>24.369050925925901</v>
      </c>
      <c r="W122" s="32">
        <v>56</v>
      </c>
      <c r="X122" s="32">
        <v>9.75</v>
      </c>
      <c r="Y122" s="32">
        <v>9.75</v>
      </c>
      <c r="Z122" s="32">
        <v>0</v>
      </c>
      <c r="AA122" s="32">
        <v>1</v>
      </c>
      <c r="AC122" s="29"/>
    </row>
    <row r="123" spans="1:29" x14ac:dyDescent="0.25">
      <c r="A123" s="28" t="s">
        <v>333</v>
      </c>
      <c r="B123" s="28" t="s">
        <v>14</v>
      </c>
      <c r="C123" s="28" t="s">
        <v>15</v>
      </c>
      <c r="D123" s="28" t="s">
        <v>154</v>
      </c>
      <c r="E123" s="28" t="s">
        <v>21</v>
      </c>
      <c r="F123" s="28" t="s">
        <v>506</v>
      </c>
      <c r="G123" s="28" t="s">
        <v>510</v>
      </c>
      <c r="H123" s="28" t="s">
        <v>513</v>
      </c>
      <c r="I123" s="28" t="s">
        <v>517</v>
      </c>
      <c r="J123" s="28" t="s">
        <v>523</v>
      </c>
      <c r="K123" s="28" t="s">
        <v>529</v>
      </c>
      <c r="L123" s="28" t="s">
        <v>539</v>
      </c>
      <c r="M123" s="31">
        <v>42303</v>
      </c>
      <c r="N123" s="31">
        <v>42303</v>
      </c>
      <c r="O123" s="31">
        <v>42377</v>
      </c>
      <c r="P123" s="28" t="s">
        <v>110</v>
      </c>
      <c r="Q123" s="33">
        <v>1</v>
      </c>
      <c r="R123" s="33">
        <v>78.393993055555597</v>
      </c>
      <c r="S123" s="33">
        <v>120.062233796296</v>
      </c>
      <c r="T123" s="33">
        <v>1</v>
      </c>
      <c r="U123" s="33">
        <v>1</v>
      </c>
      <c r="V123" s="33">
        <v>78.393182870370396</v>
      </c>
      <c r="W123" s="33">
        <v>140</v>
      </c>
      <c r="X123" s="33">
        <v>22</v>
      </c>
      <c r="Y123" s="33">
        <v>12</v>
      </c>
      <c r="Z123" s="33">
        <v>10</v>
      </c>
      <c r="AA123" s="33">
        <v>1</v>
      </c>
      <c r="AC123" s="29"/>
    </row>
    <row r="124" spans="1:29" x14ac:dyDescent="0.25">
      <c r="A124" s="27" t="s">
        <v>334</v>
      </c>
      <c r="B124" s="27" t="s">
        <v>14</v>
      </c>
      <c r="C124" s="27" t="s">
        <v>13</v>
      </c>
      <c r="D124" s="27" t="s">
        <v>154</v>
      </c>
      <c r="E124" s="27" t="s">
        <v>21</v>
      </c>
      <c r="F124" s="27" t="s">
        <v>506</v>
      </c>
      <c r="G124" s="27" t="s">
        <v>511</v>
      </c>
      <c r="H124" s="27" t="s">
        <v>513</v>
      </c>
      <c r="I124" s="27" t="s">
        <v>516</v>
      </c>
      <c r="J124" s="27" t="s">
        <v>516</v>
      </c>
      <c r="K124" s="27" t="s">
        <v>529</v>
      </c>
      <c r="L124" s="27" t="s">
        <v>539</v>
      </c>
      <c r="M124" s="30">
        <v>42303</v>
      </c>
      <c r="N124" s="30"/>
      <c r="O124" s="30"/>
      <c r="P124" s="27" t="s">
        <v>98</v>
      </c>
      <c r="Q124" s="32">
        <v>1</v>
      </c>
      <c r="R124" s="32">
        <v>26.364675925925901</v>
      </c>
      <c r="S124" s="32">
        <v>145.215</v>
      </c>
      <c r="T124" s="32">
        <v>0</v>
      </c>
      <c r="U124" s="32">
        <v>1</v>
      </c>
      <c r="V124" s="32">
        <v>1.2883912037037</v>
      </c>
      <c r="W124" s="32">
        <v>56</v>
      </c>
      <c r="X124" s="32">
        <v>8.5</v>
      </c>
      <c r="Y124" s="32">
        <v>8.5</v>
      </c>
      <c r="Z124" s="32">
        <v>0</v>
      </c>
      <c r="AA124" s="32">
        <v>1</v>
      </c>
      <c r="AC124" s="29"/>
    </row>
    <row r="125" spans="1:29" x14ac:dyDescent="0.25">
      <c r="A125" s="28" t="s">
        <v>335</v>
      </c>
      <c r="B125" s="28" t="s">
        <v>14</v>
      </c>
      <c r="C125" s="28" t="s">
        <v>13</v>
      </c>
      <c r="D125" s="28" t="s">
        <v>154</v>
      </c>
      <c r="E125" s="28" t="s">
        <v>21</v>
      </c>
      <c r="F125" s="28" t="s">
        <v>506</v>
      </c>
      <c r="G125" s="28" t="s">
        <v>511</v>
      </c>
      <c r="H125" s="28" t="s">
        <v>513</v>
      </c>
      <c r="I125" s="28" t="s">
        <v>517</v>
      </c>
      <c r="J125" s="28" t="s">
        <v>522</v>
      </c>
      <c r="K125" s="28" t="s">
        <v>529</v>
      </c>
      <c r="L125" s="28" t="s">
        <v>539</v>
      </c>
      <c r="M125" s="31">
        <v>42304</v>
      </c>
      <c r="N125" s="31">
        <v>42305</v>
      </c>
      <c r="O125" s="31">
        <v>42314</v>
      </c>
      <c r="P125" s="28" t="s">
        <v>110</v>
      </c>
      <c r="Q125" s="33">
        <v>1</v>
      </c>
      <c r="R125" s="33">
        <v>21.328622685185199</v>
      </c>
      <c r="S125" s="33">
        <v>21.328622685185199</v>
      </c>
      <c r="T125" s="33">
        <v>1</v>
      </c>
      <c r="U125" s="33">
        <v>1</v>
      </c>
      <c r="V125" s="33">
        <v>10.377141203703699</v>
      </c>
      <c r="W125" s="33">
        <v>56</v>
      </c>
      <c r="X125" s="33">
        <v>25.75</v>
      </c>
      <c r="Y125" s="33">
        <v>9.75</v>
      </c>
      <c r="Z125" s="33">
        <v>16</v>
      </c>
      <c r="AA125" s="33">
        <v>1</v>
      </c>
      <c r="AC125" s="29"/>
    </row>
    <row r="126" spans="1:29" x14ac:dyDescent="0.25">
      <c r="A126" s="27" t="s">
        <v>336</v>
      </c>
      <c r="B126" s="27" t="s">
        <v>19</v>
      </c>
      <c r="C126" s="27" t="s">
        <v>13</v>
      </c>
      <c r="D126" s="27" t="s">
        <v>154</v>
      </c>
      <c r="E126" s="27" t="s">
        <v>21</v>
      </c>
      <c r="F126" s="27" t="s">
        <v>505</v>
      </c>
      <c r="G126" s="27" t="s">
        <v>512</v>
      </c>
      <c r="H126" s="27" t="s">
        <v>513</v>
      </c>
      <c r="I126" s="27" t="s">
        <v>517</v>
      </c>
      <c r="J126" s="27" t="s">
        <v>520</v>
      </c>
      <c r="K126" s="27" t="s">
        <v>529</v>
      </c>
      <c r="L126" s="27" t="s">
        <v>539</v>
      </c>
      <c r="M126" s="30">
        <v>42307</v>
      </c>
      <c r="N126" s="30">
        <v>42307</v>
      </c>
      <c r="O126" s="30">
        <v>42312</v>
      </c>
      <c r="P126" s="27" t="s">
        <v>112</v>
      </c>
      <c r="Q126" s="32">
        <v>1</v>
      </c>
      <c r="R126" s="32">
        <v>7.3176273148148203</v>
      </c>
      <c r="S126" s="32">
        <v>7.3176273148148203</v>
      </c>
      <c r="T126" s="32">
        <v>1</v>
      </c>
      <c r="U126" s="32">
        <v>1</v>
      </c>
      <c r="V126" s="32">
        <v>7.3153125000000001</v>
      </c>
      <c r="W126" s="32">
        <v>56</v>
      </c>
      <c r="X126" s="32">
        <v>13.25</v>
      </c>
      <c r="Y126" s="32">
        <v>1.25</v>
      </c>
      <c r="Z126" s="32">
        <v>12</v>
      </c>
      <c r="AA126" s="32">
        <v>1</v>
      </c>
      <c r="AC126" s="29"/>
    </row>
    <row r="127" spans="1:29" x14ac:dyDescent="0.25">
      <c r="A127" s="28" t="s">
        <v>337</v>
      </c>
      <c r="B127" s="28" t="s">
        <v>14</v>
      </c>
      <c r="C127" s="28" t="s">
        <v>15</v>
      </c>
      <c r="D127" s="28" t="s">
        <v>154</v>
      </c>
      <c r="E127" s="28" t="s">
        <v>21</v>
      </c>
      <c r="F127" s="28" t="s">
        <v>506</v>
      </c>
      <c r="G127" s="28" t="s">
        <v>511</v>
      </c>
      <c r="H127" s="28" t="s">
        <v>513</v>
      </c>
      <c r="I127" s="28" t="s">
        <v>516</v>
      </c>
      <c r="J127" s="28" t="s">
        <v>516</v>
      </c>
      <c r="K127" s="28" t="s">
        <v>529</v>
      </c>
      <c r="L127" s="28" t="s">
        <v>539</v>
      </c>
      <c r="M127" s="31">
        <v>42314</v>
      </c>
      <c r="N127" s="31"/>
      <c r="O127" s="31"/>
      <c r="P127" s="28" t="s">
        <v>101</v>
      </c>
      <c r="Q127" s="33">
        <v>1</v>
      </c>
      <c r="R127" s="33">
        <v>11.296388888888901</v>
      </c>
      <c r="S127" s="33">
        <v>11.296388888888901</v>
      </c>
      <c r="T127" s="33">
        <v>0</v>
      </c>
      <c r="U127" s="33">
        <v>1</v>
      </c>
      <c r="V127" s="33">
        <v>11.2959259259259</v>
      </c>
      <c r="W127" s="33">
        <v>140</v>
      </c>
      <c r="X127" s="33">
        <v>3.5</v>
      </c>
      <c r="Y127" s="33">
        <v>3.5</v>
      </c>
      <c r="Z127" s="33">
        <v>0</v>
      </c>
      <c r="AA127" s="33">
        <v>1</v>
      </c>
      <c r="AC127" s="29"/>
    </row>
    <row r="128" spans="1:29" x14ac:dyDescent="0.25">
      <c r="A128" s="27" t="s">
        <v>338</v>
      </c>
      <c r="B128" s="27" t="s">
        <v>14</v>
      </c>
      <c r="C128" s="27" t="s">
        <v>13</v>
      </c>
      <c r="D128" s="27" t="s">
        <v>154</v>
      </c>
      <c r="E128" s="27" t="s">
        <v>21</v>
      </c>
      <c r="F128" s="27" t="s">
        <v>505</v>
      </c>
      <c r="G128" s="27" t="s">
        <v>512</v>
      </c>
      <c r="H128" s="27" t="s">
        <v>513</v>
      </c>
      <c r="I128" s="27" t="s">
        <v>517</v>
      </c>
      <c r="J128" s="27" t="s">
        <v>522</v>
      </c>
      <c r="K128" s="27" t="s">
        <v>529</v>
      </c>
      <c r="L128" s="27" t="s">
        <v>539</v>
      </c>
      <c r="M128" s="30">
        <v>42314</v>
      </c>
      <c r="N128" s="30">
        <v>42314</v>
      </c>
      <c r="O128" s="30">
        <v>42353</v>
      </c>
      <c r="P128" s="27" t="s">
        <v>106</v>
      </c>
      <c r="Q128" s="32">
        <v>1</v>
      </c>
      <c r="R128" s="32">
        <v>63.270416666666698</v>
      </c>
      <c r="S128" s="32">
        <v>63.270416666666698</v>
      </c>
      <c r="T128" s="32">
        <v>1</v>
      </c>
      <c r="U128" s="32">
        <v>1</v>
      </c>
      <c r="V128" s="32">
        <v>42.337905092592599</v>
      </c>
      <c r="W128" s="32">
        <v>56</v>
      </c>
      <c r="X128" s="32">
        <v>35.75</v>
      </c>
      <c r="Y128" s="32">
        <v>7.75</v>
      </c>
      <c r="Z128" s="32">
        <v>28</v>
      </c>
      <c r="AA128" s="32">
        <v>1</v>
      </c>
      <c r="AC128" s="29"/>
    </row>
    <row r="129" spans="1:29" x14ac:dyDescent="0.25">
      <c r="A129" s="28" t="s">
        <v>339</v>
      </c>
      <c r="B129" s="28" t="s">
        <v>14</v>
      </c>
      <c r="C129" s="28" t="s">
        <v>13</v>
      </c>
      <c r="D129" s="28" t="s">
        <v>154</v>
      </c>
      <c r="E129" s="28" t="s">
        <v>21</v>
      </c>
      <c r="F129" s="28" t="s">
        <v>506</v>
      </c>
      <c r="G129" s="28" t="s">
        <v>511</v>
      </c>
      <c r="H129" s="28" t="s">
        <v>513</v>
      </c>
      <c r="I129" s="28" t="s">
        <v>516</v>
      </c>
      <c r="J129" s="28" t="s">
        <v>516</v>
      </c>
      <c r="K129" s="28" t="s">
        <v>529</v>
      </c>
      <c r="L129" s="28" t="s">
        <v>539</v>
      </c>
      <c r="M129" s="31">
        <v>42316</v>
      </c>
      <c r="N129" s="31"/>
      <c r="O129" s="31"/>
      <c r="P129" s="28" t="s">
        <v>101</v>
      </c>
      <c r="Q129" s="33">
        <v>1</v>
      </c>
      <c r="R129" s="33">
        <v>9.1008101851851801</v>
      </c>
      <c r="S129" s="33">
        <v>9.7557754629629603</v>
      </c>
      <c r="T129" s="33">
        <v>0</v>
      </c>
      <c r="U129" s="33">
        <v>1</v>
      </c>
      <c r="V129" s="33">
        <v>9.1002430555555591</v>
      </c>
      <c r="W129" s="33">
        <v>56</v>
      </c>
      <c r="X129" s="33">
        <v>2.75</v>
      </c>
      <c r="Y129" s="33">
        <v>2.75</v>
      </c>
      <c r="Z129" s="33">
        <v>0</v>
      </c>
      <c r="AA129" s="33">
        <v>1</v>
      </c>
      <c r="AC129" s="29"/>
    </row>
    <row r="130" spans="1:29" x14ac:dyDescent="0.25">
      <c r="A130" s="27" t="s">
        <v>340</v>
      </c>
      <c r="B130" s="27" t="s">
        <v>14</v>
      </c>
      <c r="C130" s="27" t="s">
        <v>15</v>
      </c>
      <c r="D130" s="27" t="s">
        <v>154</v>
      </c>
      <c r="E130" s="27" t="s">
        <v>21</v>
      </c>
      <c r="F130" s="27" t="s">
        <v>506</v>
      </c>
      <c r="G130" s="27" t="s">
        <v>511</v>
      </c>
      <c r="H130" s="27" t="s">
        <v>514</v>
      </c>
      <c r="I130" s="27" t="s">
        <v>517</v>
      </c>
      <c r="J130" s="27" t="s">
        <v>522</v>
      </c>
      <c r="K130" s="27" t="s">
        <v>529</v>
      </c>
      <c r="L130" s="27" t="s">
        <v>539</v>
      </c>
      <c r="M130" s="30">
        <v>42317</v>
      </c>
      <c r="N130" s="30">
        <v>42317</v>
      </c>
      <c r="O130" s="30">
        <v>42380</v>
      </c>
      <c r="P130" s="27" t="s">
        <v>98</v>
      </c>
      <c r="Q130" s="32">
        <v>1</v>
      </c>
      <c r="R130" s="32">
        <v>73.040046296296296</v>
      </c>
      <c r="S130" s="32">
        <v>73.040046296296296</v>
      </c>
      <c r="T130" s="32">
        <v>1</v>
      </c>
      <c r="U130" s="32">
        <v>1</v>
      </c>
      <c r="V130" s="32">
        <v>73.038703703703703</v>
      </c>
      <c r="W130" s="32">
        <v>140</v>
      </c>
      <c r="X130" s="32">
        <v>71.5</v>
      </c>
      <c r="Y130" s="32">
        <v>37.5</v>
      </c>
      <c r="Z130" s="32">
        <v>34</v>
      </c>
      <c r="AA130" s="32">
        <v>1</v>
      </c>
      <c r="AC130" s="29"/>
    </row>
    <row r="131" spans="1:29" x14ac:dyDescent="0.25">
      <c r="A131" s="28" t="s">
        <v>341</v>
      </c>
      <c r="B131" s="28" t="s">
        <v>14</v>
      </c>
      <c r="C131" s="28" t="s">
        <v>13</v>
      </c>
      <c r="D131" s="28" t="s">
        <v>154</v>
      </c>
      <c r="E131" s="28" t="s">
        <v>21</v>
      </c>
      <c r="F131" s="28" t="s">
        <v>505</v>
      </c>
      <c r="G131" s="28" t="s">
        <v>512</v>
      </c>
      <c r="H131" s="28" t="s">
        <v>513</v>
      </c>
      <c r="I131" s="28" t="s">
        <v>517</v>
      </c>
      <c r="J131" s="28" t="s">
        <v>526</v>
      </c>
      <c r="K131" s="28" t="s">
        <v>529</v>
      </c>
      <c r="L131" s="28" t="s">
        <v>539</v>
      </c>
      <c r="M131" s="31">
        <v>42319</v>
      </c>
      <c r="N131" s="31">
        <v>42330</v>
      </c>
      <c r="O131" s="31">
        <v>42342</v>
      </c>
      <c r="P131" s="28" t="s">
        <v>98</v>
      </c>
      <c r="Q131" s="33">
        <v>1</v>
      </c>
      <c r="R131" s="33">
        <v>68.966168981481502</v>
      </c>
      <c r="S131" s="33">
        <v>68.966168981481502</v>
      </c>
      <c r="T131" s="33">
        <v>1</v>
      </c>
      <c r="U131" s="33">
        <v>1</v>
      </c>
      <c r="V131" s="33">
        <v>22.701574074074099</v>
      </c>
      <c r="W131" s="33">
        <v>56</v>
      </c>
      <c r="X131" s="33">
        <v>30.5</v>
      </c>
      <c r="Y131" s="33">
        <v>10.5</v>
      </c>
      <c r="Z131" s="33">
        <v>20</v>
      </c>
      <c r="AA131" s="33">
        <v>1</v>
      </c>
      <c r="AC131" s="29"/>
    </row>
    <row r="132" spans="1:29" x14ac:dyDescent="0.25">
      <c r="A132" s="27" t="s">
        <v>342</v>
      </c>
      <c r="B132" s="27" t="s">
        <v>14</v>
      </c>
      <c r="C132" s="27" t="s">
        <v>13</v>
      </c>
      <c r="D132" s="27" t="s">
        <v>154</v>
      </c>
      <c r="E132" s="27" t="s">
        <v>21</v>
      </c>
      <c r="F132" s="27" t="s">
        <v>505</v>
      </c>
      <c r="G132" s="27" t="s">
        <v>512</v>
      </c>
      <c r="H132" s="27" t="s">
        <v>513</v>
      </c>
      <c r="I132" s="27" t="s">
        <v>516</v>
      </c>
      <c r="J132" s="27" t="s">
        <v>516</v>
      </c>
      <c r="K132" s="27" t="s">
        <v>529</v>
      </c>
      <c r="L132" s="27" t="s">
        <v>539</v>
      </c>
      <c r="M132" s="30">
        <v>42320</v>
      </c>
      <c r="N132" s="30"/>
      <c r="O132" s="30"/>
      <c r="P132" s="27" t="s">
        <v>102</v>
      </c>
      <c r="Q132" s="32">
        <v>1</v>
      </c>
      <c r="R132" s="32">
        <v>56.685347222222198</v>
      </c>
      <c r="S132" s="32">
        <v>56.685347222222198</v>
      </c>
      <c r="T132" s="32">
        <v>0</v>
      </c>
      <c r="U132" s="32">
        <v>1</v>
      </c>
      <c r="V132" s="32">
        <v>54.789386574074101</v>
      </c>
      <c r="W132" s="32">
        <v>56</v>
      </c>
      <c r="X132" s="32">
        <v>6</v>
      </c>
      <c r="Y132" s="32">
        <v>6</v>
      </c>
      <c r="Z132" s="32">
        <v>0</v>
      </c>
      <c r="AA132" s="32">
        <v>1</v>
      </c>
      <c r="AC132" s="29"/>
    </row>
    <row r="133" spans="1:29" x14ac:dyDescent="0.25">
      <c r="A133" s="28" t="s">
        <v>343</v>
      </c>
      <c r="B133" s="28" t="s">
        <v>14</v>
      </c>
      <c r="C133" s="28" t="s">
        <v>16</v>
      </c>
      <c r="D133" s="28" t="s">
        <v>154</v>
      </c>
      <c r="E133" s="28" t="s">
        <v>21</v>
      </c>
      <c r="F133" s="28" t="s">
        <v>505</v>
      </c>
      <c r="G133" s="28" t="s">
        <v>509</v>
      </c>
      <c r="H133" s="28" t="s">
        <v>513</v>
      </c>
      <c r="I133" s="28" t="s">
        <v>516</v>
      </c>
      <c r="J133" s="28" t="s">
        <v>516</v>
      </c>
      <c r="K133" s="28" t="s">
        <v>529</v>
      </c>
      <c r="L133" s="28" t="s">
        <v>539</v>
      </c>
      <c r="M133" s="31">
        <v>42321</v>
      </c>
      <c r="N133" s="31"/>
      <c r="O133" s="31"/>
      <c r="P133" s="28" t="s">
        <v>104</v>
      </c>
      <c r="Q133" s="33">
        <v>1</v>
      </c>
      <c r="R133" s="33">
        <v>0.23346064814814799</v>
      </c>
      <c r="S133" s="33">
        <v>0.23346064814814799</v>
      </c>
      <c r="T133" s="33">
        <v>0</v>
      </c>
      <c r="U133" s="33">
        <v>1</v>
      </c>
      <c r="V133" s="33">
        <v>0.23195601851851899</v>
      </c>
      <c r="W133" s="33">
        <v>28</v>
      </c>
      <c r="X133" s="33">
        <v>0.5</v>
      </c>
      <c r="Y133" s="33">
        <v>0.5</v>
      </c>
      <c r="Z133" s="33">
        <v>0</v>
      </c>
      <c r="AA133" s="33">
        <v>1</v>
      </c>
      <c r="AC133" s="29"/>
    </row>
    <row r="134" spans="1:29" x14ac:dyDescent="0.25">
      <c r="A134" s="27" t="s">
        <v>344</v>
      </c>
      <c r="B134" s="27" t="s">
        <v>14</v>
      </c>
      <c r="C134" s="27" t="s">
        <v>17</v>
      </c>
      <c r="D134" s="27" t="s">
        <v>154</v>
      </c>
      <c r="E134" s="27" t="s">
        <v>21</v>
      </c>
      <c r="F134" s="27" t="s">
        <v>506</v>
      </c>
      <c r="G134" s="27" t="s">
        <v>511</v>
      </c>
      <c r="H134" s="27" t="s">
        <v>513</v>
      </c>
      <c r="I134" s="27" t="s">
        <v>518</v>
      </c>
      <c r="J134" s="27" t="s">
        <v>519</v>
      </c>
      <c r="K134" s="27" t="s">
        <v>529</v>
      </c>
      <c r="L134" s="27" t="s">
        <v>539</v>
      </c>
      <c r="M134" s="30">
        <v>42321</v>
      </c>
      <c r="N134" s="30">
        <v>42321</v>
      </c>
      <c r="O134" s="30">
        <v>42321</v>
      </c>
      <c r="P134" s="27" t="s">
        <v>104</v>
      </c>
      <c r="Q134" s="32">
        <v>1</v>
      </c>
      <c r="R134" s="32">
        <v>0.135717592592593</v>
      </c>
      <c r="S134" s="32">
        <v>0.135717592592593</v>
      </c>
      <c r="T134" s="32">
        <v>1</v>
      </c>
      <c r="U134" s="32">
        <v>1</v>
      </c>
      <c r="V134" s="32">
        <v>0.119594907407407</v>
      </c>
      <c r="W134" s="32">
        <v>3</v>
      </c>
      <c r="X134" s="32">
        <v>1</v>
      </c>
      <c r="Y134" s="32">
        <v>1</v>
      </c>
      <c r="Z134" s="32">
        <v>0</v>
      </c>
      <c r="AA134" s="32">
        <v>1</v>
      </c>
      <c r="AC134" s="29"/>
    </row>
    <row r="135" spans="1:29" x14ac:dyDescent="0.25">
      <c r="A135" s="28" t="s">
        <v>345</v>
      </c>
      <c r="B135" s="28" t="s">
        <v>14</v>
      </c>
      <c r="C135" s="28" t="s">
        <v>15</v>
      </c>
      <c r="D135" s="28" t="s">
        <v>154</v>
      </c>
      <c r="E135" s="28" t="s">
        <v>21</v>
      </c>
      <c r="F135" s="28" t="s">
        <v>506</v>
      </c>
      <c r="G135" s="28" t="s">
        <v>511</v>
      </c>
      <c r="H135" s="28" t="s">
        <v>513</v>
      </c>
      <c r="I135" s="28" t="s">
        <v>516</v>
      </c>
      <c r="J135" s="28" t="s">
        <v>516</v>
      </c>
      <c r="K135" s="28" t="s">
        <v>529</v>
      </c>
      <c r="L135" s="28" t="s">
        <v>539</v>
      </c>
      <c r="M135" s="31">
        <v>42321</v>
      </c>
      <c r="N135" s="31"/>
      <c r="O135" s="31"/>
      <c r="P135" s="28" t="s">
        <v>98</v>
      </c>
      <c r="Q135" s="33">
        <v>1</v>
      </c>
      <c r="R135" s="33">
        <v>132.999780092593</v>
      </c>
      <c r="S135" s="33">
        <v>132.99991898148201</v>
      </c>
      <c r="T135" s="33">
        <v>0</v>
      </c>
      <c r="U135" s="33">
        <v>1</v>
      </c>
      <c r="V135" s="33">
        <v>132.999456018518</v>
      </c>
      <c r="W135" s="33">
        <v>140</v>
      </c>
      <c r="X135" s="33">
        <v>16</v>
      </c>
      <c r="Y135" s="33">
        <v>16</v>
      </c>
      <c r="Z135" s="33">
        <v>0</v>
      </c>
      <c r="AA135" s="33">
        <v>1</v>
      </c>
      <c r="AC135" s="29"/>
    </row>
    <row r="136" spans="1:29" x14ac:dyDescent="0.25">
      <c r="A136" s="27" t="s">
        <v>346</v>
      </c>
      <c r="B136" s="27" t="s">
        <v>14</v>
      </c>
      <c r="C136" s="27" t="s">
        <v>15</v>
      </c>
      <c r="D136" s="27" t="s">
        <v>154</v>
      </c>
      <c r="E136" s="27" t="s">
        <v>21</v>
      </c>
      <c r="F136" s="27" t="s">
        <v>506</v>
      </c>
      <c r="G136" s="27" t="s">
        <v>511</v>
      </c>
      <c r="H136" s="27" t="s">
        <v>513</v>
      </c>
      <c r="I136" s="27" t="s">
        <v>516</v>
      </c>
      <c r="J136" s="27" t="s">
        <v>516</v>
      </c>
      <c r="K136" s="27" t="s">
        <v>529</v>
      </c>
      <c r="L136" s="27" t="s">
        <v>539</v>
      </c>
      <c r="M136" s="30">
        <v>42321</v>
      </c>
      <c r="N136" s="30"/>
      <c r="O136" s="30"/>
      <c r="P136" s="27" t="s">
        <v>102</v>
      </c>
      <c r="Q136" s="32">
        <v>1</v>
      </c>
      <c r="R136" s="32">
        <v>146.829375</v>
      </c>
      <c r="S136" s="32">
        <v>193.97693287037001</v>
      </c>
      <c r="T136" s="32">
        <v>0</v>
      </c>
      <c r="U136" s="32">
        <v>1</v>
      </c>
      <c r="V136" s="32">
        <v>146.828553240741</v>
      </c>
      <c r="W136" s="32">
        <v>140</v>
      </c>
      <c r="X136" s="32">
        <v>17</v>
      </c>
      <c r="Y136" s="32">
        <v>17</v>
      </c>
      <c r="Z136" s="32">
        <v>0</v>
      </c>
      <c r="AA136" s="32">
        <v>0</v>
      </c>
      <c r="AC136" s="29"/>
    </row>
    <row r="137" spans="1:29" x14ac:dyDescent="0.25">
      <c r="A137" s="28" t="s">
        <v>347</v>
      </c>
      <c r="B137" s="28" t="s">
        <v>14</v>
      </c>
      <c r="C137" s="28" t="s">
        <v>15</v>
      </c>
      <c r="D137" s="28" t="s">
        <v>154</v>
      </c>
      <c r="E137" s="28" t="s">
        <v>21</v>
      </c>
      <c r="F137" s="28" t="s">
        <v>506</v>
      </c>
      <c r="G137" s="28" t="s">
        <v>511</v>
      </c>
      <c r="H137" s="28" t="s">
        <v>513</v>
      </c>
      <c r="I137" s="28" t="s">
        <v>516</v>
      </c>
      <c r="J137" s="28" t="s">
        <v>516</v>
      </c>
      <c r="K137" s="28" t="s">
        <v>529</v>
      </c>
      <c r="L137" s="28" t="s">
        <v>539</v>
      </c>
      <c r="M137" s="31">
        <v>42321</v>
      </c>
      <c r="N137" s="31"/>
      <c r="O137" s="31"/>
      <c r="P137" s="28" t="s">
        <v>113</v>
      </c>
      <c r="Q137" s="33">
        <v>1</v>
      </c>
      <c r="R137" s="33">
        <v>133.000706018519</v>
      </c>
      <c r="S137" s="33">
        <v>133.00105324074099</v>
      </c>
      <c r="T137" s="33">
        <v>0</v>
      </c>
      <c r="U137" s="33">
        <v>1</v>
      </c>
      <c r="V137" s="33">
        <v>132.99927083333299</v>
      </c>
      <c r="W137" s="33">
        <v>140</v>
      </c>
      <c r="X137" s="33">
        <v>22</v>
      </c>
      <c r="Y137" s="33">
        <v>22</v>
      </c>
      <c r="Z137" s="33">
        <v>0</v>
      </c>
      <c r="AA137" s="33">
        <v>1</v>
      </c>
      <c r="AC137" s="29"/>
    </row>
    <row r="138" spans="1:29" x14ac:dyDescent="0.25">
      <c r="A138" s="27" t="s">
        <v>348</v>
      </c>
      <c r="B138" s="27" t="s">
        <v>14</v>
      </c>
      <c r="C138" s="27" t="s">
        <v>13</v>
      </c>
      <c r="D138" s="27" t="s">
        <v>154</v>
      </c>
      <c r="E138" s="27" t="s">
        <v>21</v>
      </c>
      <c r="F138" s="27" t="s">
        <v>506</v>
      </c>
      <c r="G138" s="27" t="s">
        <v>511</v>
      </c>
      <c r="H138" s="27" t="s">
        <v>513</v>
      </c>
      <c r="I138" s="27" t="s">
        <v>516</v>
      </c>
      <c r="J138" s="27" t="s">
        <v>516</v>
      </c>
      <c r="K138" s="27" t="s">
        <v>529</v>
      </c>
      <c r="L138" s="27" t="s">
        <v>539</v>
      </c>
      <c r="M138" s="30">
        <v>42321</v>
      </c>
      <c r="N138" s="30"/>
      <c r="O138" s="30"/>
      <c r="P138" s="27" t="s">
        <v>102</v>
      </c>
      <c r="Q138" s="32">
        <v>1</v>
      </c>
      <c r="R138" s="32">
        <v>37.9401041666667</v>
      </c>
      <c r="S138" s="32">
        <v>89.246724537036997</v>
      </c>
      <c r="T138" s="32">
        <v>0</v>
      </c>
      <c r="U138" s="32">
        <v>1</v>
      </c>
      <c r="V138" s="32">
        <v>37.939768518518498</v>
      </c>
      <c r="W138" s="32">
        <v>56</v>
      </c>
      <c r="X138" s="32">
        <v>22</v>
      </c>
      <c r="Y138" s="32">
        <v>22</v>
      </c>
      <c r="Z138" s="32">
        <v>0</v>
      </c>
      <c r="AA138" s="32">
        <v>1</v>
      </c>
      <c r="AC138" s="29"/>
    </row>
    <row r="139" spans="1:29" x14ac:dyDescent="0.25">
      <c r="A139" s="28" t="s">
        <v>349</v>
      </c>
      <c r="B139" s="28" t="s">
        <v>14</v>
      </c>
      <c r="C139" s="28" t="s">
        <v>13</v>
      </c>
      <c r="D139" s="28" t="s">
        <v>154</v>
      </c>
      <c r="E139" s="28" t="s">
        <v>21</v>
      </c>
      <c r="F139" s="28" t="s">
        <v>506</v>
      </c>
      <c r="G139" s="28" t="s">
        <v>511</v>
      </c>
      <c r="H139" s="28" t="s">
        <v>513</v>
      </c>
      <c r="I139" s="28" t="s">
        <v>516</v>
      </c>
      <c r="J139" s="28" t="s">
        <v>516</v>
      </c>
      <c r="K139" s="28" t="s">
        <v>529</v>
      </c>
      <c r="L139" s="28" t="s">
        <v>539</v>
      </c>
      <c r="M139" s="31">
        <v>42321</v>
      </c>
      <c r="N139" s="31"/>
      <c r="O139" s="31"/>
      <c r="P139" s="28" t="s">
        <v>102</v>
      </c>
      <c r="Q139" s="33">
        <v>1</v>
      </c>
      <c r="R139" s="33">
        <v>37.935173611111097</v>
      </c>
      <c r="S139" s="33">
        <v>89.243090277777796</v>
      </c>
      <c r="T139" s="33">
        <v>0</v>
      </c>
      <c r="U139" s="33">
        <v>1</v>
      </c>
      <c r="V139" s="33">
        <v>37.934803240740699</v>
      </c>
      <c r="W139" s="33">
        <v>56</v>
      </c>
      <c r="X139" s="33">
        <v>23</v>
      </c>
      <c r="Y139" s="33">
        <v>23</v>
      </c>
      <c r="Z139" s="33">
        <v>0</v>
      </c>
      <c r="AA139" s="33">
        <v>1</v>
      </c>
      <c r="AC139" s="29"/>
    </row>
    <row r="140" spans="1:29" x14ac:dyDescent="0.25">
      <c r="A140" s="27" t="s">
        <v>350</v>
      </c>
      <c r="B140" s="27" t="s">
        <v>14</v>
      </c>
      <c r="C140" s="27" t="s">
        <v>15</v>
      </c>
      <c r="D140" s="27" t="s">
        <v>154</v>
      </c>
      <c r="E140" s="27" t="s">
        <v>21</v>
      </c>
      <c r="F140" s="27" t="s">
        <v>506</v>
      </c>
      <c r="G140" s="27" t="s">
        <v>511</v>
      </c>
      <c r="H140" s="27" t="s">
        <v>513</v>
      </c>
      <c r="I140" s="27" t="s">
        <v>516</v>
      </c>
      <c r="J140" s="27" t="s">
        <v>516</v>
      </c>
      <c r="K140" s="27" t="s">
        <v>529</v>
      </c>
      <c r="L140" s="27" t="s">
        <v>539</v>
      </c>
      <c r="M140" s="30">
        <v>42321</v>
      </c>
      <c r="N140" s="30"/>
      <c r="O140" s="30"/>
      <c r="P140" s="27" t="s">
        <v>102</v>
      </c>
      <c r="Q140" s="32">
        <v>1</v>
      </c>
      <c r="R140" s="32">
        <v>146.814016203704</v>
      </c>
      <c r="S140" s="32">
        <v>193.97144675925901</v>
      </c>
      <c r="T140" s="32">
        <v>0</v>
      </c>
      <c r="U140" s="32">
        <v>1</v>
      </c>
      <c r="V140" s="32">
        <v>146.81350694444399</v>
      </c>
      <c r="W140" s="32">
        <v>140</v>
      </c>
      <c r="X140" s="32">
        <v>19.5</v>
      </c>
      <c r="Y140" s="32">
        <v>19.5</v>
      </c>
      <c r="Z140" s="32">
        <v>0</v>
      </c>
      <c r="AA140" s="32">
        <v>0</v>
      </c>
      <c r="AC140" s="29"/>
    </row>
    <row r="141" spans="1:29" x14ac:dyDescent="0.25">
      <c r="A141" s="28" t="s">
        <v>351</v>
      </c>
      <c r="B141" s="28" t="s">
        <v>14</v>
      </c>
      <c r="C141" s="28" t="s">
        <v>13</v>
      </c>
      <c r="D141" s="28" t="s">
        <v>154</v>
      </c>
      <c r="E141" s="28" t="s">
        <v>21</v>
      </c>
      <c r="F141" s="28" t="s">
        <v>505</v>
      </c>
      <c r="G141" s="28" t="s">
        <v>512</v>
      </c>
      <c r="H141" s="28" t="s">
        <v>513</v>
      </c>
      <c r="I141" s="28" t="s">
        <v>516</v>
      </c>
      <c r="J141" s="28" t="s">
        <v>516</v>
      </c>
      <c r="K141" s="28" t="s">
        <v>529</v>
      </c>
      <c r="L141" s="28" t="s">
        <v>539</v>
      </c>
      <c r="M141" s="31">
        <v>42321</v>
      </c>
      <c r="N141" s="31"/>
      <c r="O141" s="31"/>
      <c r="P141" s="28" t="s">
        <v>105</v>
      </c>
      <c r="Q141" s="33">
        <v>1</v>
      </c>
      <c r="R141" s="33">
        <v>96.868761574074099</v>
      </c>
      <c r="S141" s="33">
        <v>104.774664351852</v>
      </c>
      <c r="T141" s="33">
        <v>0</v>
      </c>
      <c r="U141" s="33">
        <v>1</v>
      </c>
      <c r="V141" s="33">
        <v>96.868495370370397</v>
      </c>
      <c r="W141" s="33">
        <v>56</v>
      </c>
      <c r="X141" s="33">
        <v>16.75</v>
      </c>
      <c r="Y141" s="33">
        <v>16.75</v>
      </c>
      <c r="Z141" s="33">
        <v>0</v>
      </c>
      <c r="AA141" s="33">
        <v>0</v>
      </c>
      <c r="AC141" s="29"/>
    </row>
    <row r="142" spans="1:29" x14ac:dyDescent="0.25">
      <c r="A142" s="27" t="s">
        <v>352</v>
      </c>
      <c r="B142" s="27" t="s">
        <v>14</v>
      </c>
      <c r="C142" s="27" t="s">
        <v>13</v>
      </c>
      <c r="D142" s="27" t="s">
        <v>154</v>
      </c>
      <c r="E142" s="27" t="s">
        <v>21</v>
      </c>
      <c r="F142" s="27" t="s">
        <v>505</v>
      </c>
      <c r="G142" s="27" t="s">
        <v>512</v>
      </c>
      <c r="H142" s="27" t="s">
        <v>513</v>
      </c>
      <c r="I142" s="27" t="s">
        <v>516</v>
      </c>
      <c r="J142" s="27" t="s">
        <v>516</v>
      </c>
      <c r="K142" s="27" t="s">
        <v>529</v>
      </c>
      <c r="L142" s="27" t="s">
        <v>539</v>
      </c>
      <c r="M142" s="30">
        <v>42321</v>
      </c>
      <c r="N142" s="30"/>
      <c r="O142" s="30"/>
      <c r="P142" s="27" t="s">
        <v>105</v>
      </c>
      <c r="Q142" s="32">
        <v>1</v>
      </c>
      <c r="R142" s="32">
        <v>96.885555555555598</v>
      </c>
      <c r="S142" s="32">
        <v>104.77306712962999</v>
      </c>
      <c r="T142" s="32">
        <v>0</v>
      </c>
      <c r="U142" s="32">
        <v>1</v>
      </c>
      <c r="V142" s="32">
        <v>96.885277777777802</v>
      </c>
      <c r="W142" s="32">
        <v>56</v>
      </c>
      <c r="X142" s="32">
        <v>14.5</v>
      </c>
      <c r="Y142" s="32">
        <v>14.5</v>
      </c>
      <c r="Z142" s="32">
        <v>0</v>
      </c>
      <c r="AA142" s="32">
        <v>0</v>
      </c>
      <c r="AC142" s="29"/>
    </row>
    <row r="143" spans="1:29" x14ac:dyDescent="0.25">
      <c r="A143" s="28" t="s">
        <v>353</v>
      </c>
      <c r="B143" s="28" t="s">
        <v>14</v>
      </c>
      <c r="C143" s="28" t="s">
        <v>13</v>
      </c>
      <c r="D143" s="28" t="s">
        <v>154</v>
      </c>
      <c r="E143" s="28" t="s">
        <v>21</v>
      </c>
      <c r="F143" s="28" t="s">
        <v>505</v>
      </c>
      <c r="G143" s="28" t="s">
        <v>512</v>
      </c>
      <c r="H143" s="28" t="s">
        <v>513</v>
      </c>
      <c r="I143" s="28" t="s">
        <v>516</v>
      </c>
      <c r="J143" s="28" t="s">
        <v>516</v>
      </c>
      <c r="K143" s="28" t="s">
        <v>529</v>
      </c>
      <c r="L143" s="28" t="s">
        <v>539</v>
      </c>
      <c r="M143" s="31">
        <v>42321</v>
      </c>
      <c r="N143" s="31"/>
      <c r="O143" s="31"/>
      <c r="P143" s="28" t="s">
        <v>105</v>
      </c>
      <c r="Q143" s="33">
        <v>1</v>
      </c>
      <c r="R143" s="33">
        <v>96.864328703703706</v>
      </c>
      <c r="S143" s="33">
        <v>104.77155092592599</v>
      </c>
      <c r="T143" s="33">
        <v>0</v>
      </c>
      <c r="U143" s="33">
        <v>1</v>
      </c>
      <c r="V143" s="33">
        <v>96.863854166666698</v>
      </c>
      <c r="W143" s="33">
        <v>56</v>
      </c>
      <c r="X143" s="33">
        <v>14.5</v>
      </c>
      <c r="Y143" s="33">
        <v>14.5</v>
      </c>
      <c r="Z143" s="33">
        <v>0</v>
      </c>
      <c r="AA143" s="33">
        <v>0</v>
      </c>
      <c r="AC143" s="29"/>
    </row>
    <row r="144" spans="1:29" x14ac:dyDescent="0.25">
      <c r="A144" s="27" t="s">
        <v>354</v>
      </c>
      <c r="B144" s="27" t="s">
        <v>14</v>
      </c>
      <c r="C144" s="27" t="s">
        <v>13</v>
      </c>
      <c r="D144" s="27" t="s">
        <v>154</v>
      </c>
      <c r="E144" s="27" t="s">
        <v>21</v>
      </c>
      <c r="F144" s="27" t="s">
        <v>505</v>
      </c>
      <c r="G144" s="27" t="s">
        <v>512</v>
      </c>
      <c r="H144" s="27" t="s">
        <v>513</v>
      </c>
      <c r="I144" s="27" t="s">
        <v>516</v>
      </c>
      <c r="J144" s="27" t="s">
        <v>516</v>
      </c>
      <c r="K144" s="27" t="s">
        <v>529</v>
      </c>
      <c r="L144" s="27" t="s">
        <v>539</v>
      </c>
      <c r="M144" s="30">
        <v>42321</v>
      </c>
      <c r="N144" s="30"/>
      <c r="O144" s="30"/>
      <c r="P144" s="27" t="s">
        <v>102</v>
      </c>
      <c r="Q144" s="32">
        <v>1</v>
      </c>
      <c r="R144" s="32">
        <v>37.928194444444401</v>
      </c>
      <c r="S144" s="32">
        <v>89.254398148148198</v>
      </c>
      <c r="T144" s="32">
        <v>0</v>
      </c>
      <c r="U144" s="32">
        <v>1</v>
      </c>
      <c r="V144" s="32">
        <v>37.926273148148198</v>
      </c>
      <c r="W144" s="32">
        <v>56</v>
      </c>
      <c r="X144" s="32">
        <v>23</v>
      </c>
      <c r="Y144" s="32">
        <v>23</v>
      </c>
      <c r="Z144" s="32">
        <v>0</v>
      </c>
      <c r="AA144" s="32">
        <v>1</v>
      </c>
      <c r="AC144" s="29"/>
    </row>
    <row r="145" spans="1:29" x14ac:dyDescent="0.25">
      <c r="A145" s="28" t="s">
        <v>355</v>
      </c>
      <c r="B145" s="28" t="s">
        <v>14</v>
      </c>
      <c r="C145" s="28" t="s">
        <v>13</v>
      </c>
      <c r="D145" s="28" t="s">
        <v>154</v>
      </c>
      <c r="E145" s="28" t="s">
        <v>21</v>
      </c>
      <c r="F145" s="28" t="s">
        <v>505</v>
      </c>
      <c r="G145" s="28" t="s">
        <v>512</v>
      </c>
      <c r="H145" s="28" t="s">
        <v>513</v>
      </c>
      <c r="I145" s="28" t="s">
        <v>516</v>
      </c>
      <c r="J145" s="28" t="s">
        <v>516</v>
      </c>
      <c r="K145" s="28" t="s">
        <v>529</v>
      </c>
      <c r="L145" s="28" t="s">
        <v>539</v>
      </c>
      <c r="M145" s="31">
        <v>42321</v>
      </c>
      <c r="N145" s="31"/>
      <c r="O145" s="31"/>
      <c r="P145" s="28" t="s">
        <v>102</v>
      </c>
      <c r="Q145" s="33">
        <v>1</v>
      </c>
      <c r="R145" s="33">
        <v>37.924027777777802</v>
      </c>
      <c r="S145" s="33">
        <v>89.228958333333296</v>
      </c>
      <c r="T145" s="33">
        <v>0</v>
      </c>
      <c r="U145" s="33">
        <v>1</v>
      </c>
      <c r="V145" s="33">
        <v>37.923402777777802</v>
      </c>
      <c r="W145" s="33">
        <v>56</v>
      </c>
      <c r="X145" s="33">
        <v>23</v>
      </c>
      <c r="Y145" s="33">
        <v>23</v>
      </c>
      <c r="Z145" s="33">
        <v>0</v>
      </c>
      <c r="AA145" s="33">
        <v>1</v>
      </c>
      <c r="AC145" s="29"/>
    </row>
    <row r="146" spans="1:29" x14ac:dyDescent="0.25">
      <c r="A146" s="27" t="s">
        <v>356</v>
      </c>
      <c r="B146" s="27" t="s">
        <v>14</v>
      </c>
      <c r="C146" s="27" t="s">
        <v>13</v>
      </c>
      <c r="D146" s="27" t="s">
        <v>154</v>
      </c>
      <c r="E146" s="27" t="s">
        <v>21</v>
      </c>
      <c r="F146" s="27" t="s">
        <v>505</v>
      </c>
      <c r="G146" s="27" t="s">
        <v>512</v>
      </c>
      <c r="H146" s="27" t="s">
        <v>513</v>
      </c>
      <c r="I146" s="27" t="s">
        <v>516</v>
      </c>
      <c r="J146" s="27" t="s">
        <v>516</v>
      </c>
      <c r="K146" s="27" t="s">
        <v>529</v>
      </c>
      <c r="L146" s="27" t="s">
        <v>539</v>
      </c>
      <c r="M146" s="30">
        <v>42321</v>
      </c>
      <c r="N146" s="30"/>
      <c r="O146" s="30"/>
      <c r="P146" s="27" t="s">
        <v>105</v>
      </c>
      <c r="Q146" s="32">
        <v>1</v>
      </c>
      <c r="R146" s="32">
        <v>83.831493055555597</v>
      </c>
      <c r="S146" s="32">
        <v>87.299351851851895</v>
      </c>
      <c r="T146" s="32">
        <v>0</v>
      </c>
      <c r="U146" s="32">
        <v>1</v>
      </c>
      <c r="V146" s="32">
        <v>83.829583333333304</v>
      </c>
      <c r="W146" s="32">
        <v>56</v>
      </c>
      <c r="X146" s="32">
        <v>12</v>
      </c>
      <c r="Y146" s="32">
        <v>12</v>
      </c>
      <c r="Z146" s="32">
        <v>0</v>
      </c>
      <c r="AA146" s="32">
        <v>0</v>
      </c>
      <c r="AC146" s="29"/>
    </row>
    <row r="147" spans="1:29" x14ac:dyDescent="0.25">
      <c r="A147" s="28" t="s">
        <v>357</v>
      </c>
      <c r="B147" s="28" t="s">
        <v>14</v>
      </c>
      <c r="C147" s="28" t="s">
        <v>13</v>
      </c>
      <c r="D147" s="28" t="s">
        <v>154</v>
      </c>
      <c r="E147" s="28" t="s">
        <v>21</v>
      </c>
      <c r="F147" s="28" t="s">
        <v>506</v>
      </c>
      <c r="G147" s="28" t="s">
        <v>511</v>
      </c>
      <c r="H147" s="28" t="s">
        <v>513</v>
      </c>
      <c r="I147" s="28" t="s">
        <v>516</v>
      </c>
      <c r="J147" s="28" t="s">
        <v>516</v>
      </c>
      <c r="K147" s="28" t="s">
        <v>529</v>
      </c>
      <c r="L147" s="28" t="s">
        <v>539</v>
      </c>
      <c r="M147" s="31">
        <v>42321</v>
      </c>
      <c r="N147" s="31"/>
      <c r="O147" s="31"/>
      <c r="P147" s="28" t="s">
        <v>104</v>
      </c>
      <c r="Q147" s="33">
        <v>1</v>
      </c>
      <c r="R147" s="33">
        <v>87.126412037036999</v>
      </c>
      <c r="S147" s="33">
        <v>87.126597222222202</v>
      </c>
      <c r="T147" s="33">
        <v>0</v>
      </c>
      <c r="U147" s="33">
        <v>1</v>
      </c>
      <c r="V147" s="33">
        <v>87.125775462963006</v>
      </c>
      <c r="W147" s="33">
        <v>56</v>
      </c>
      <c r="X147" s="33">
        <v>17.5</v>
      </c>
      <c r="Y147" s="33">
        <v>17.5</v>
      </c>
      <c r="Z147" s="33">
        <v>0</v>
      </c>
      <c r="AA147" s="33">
        <v>0</v>
      </c>
      <c r="AC147" s="29"/>
    </row>
    <row r="148" spans="1:29" x14ac:dyDescent="0.25">
      <c r="A148" s="27" t="s">
        <v>358</v>
      </c>
      <c r="B148" s="27" t="s">
        <v>14</v>
      </c>
      <c r="C148" s="27" t="s">
        <v>13</v>
      </c>
      <c r="D148" s="27" t="s">
        <v>154</v>
      </c>
      <c r="E148" s="27" t="s">
        <v>21</v>
      </c>
      <c r="F148" s="27" t="s">
        <v>506</v>
      </c>
      <c r="G148" s="27" t="s">
        <v>511</v>
      </c>
      <c r="H148" s="27" t="s">
        <v>513</v>
      </c>
      <c r="I148" s="27" t="s">
        <v>516</v>
      </c>
      <c r="J148" s="27" t="s">
        <v>516</v>
      </c>
      <c r="K148" s="27" t="s">
        <v>529</v>
      </c>
      <c r="L148" s="27" t="s">
        <v>539</v>
      </c>
      <c r="M148" s="30">
        <v>42321</v>
      </c>
      <c r="N148" s="30"/>
      <c r="O148" s="30"/>
      <c r="P148" s="27" t="s">
        <v>102</v>
      </c>
      <c r="Q148" s="32">
        <v>1</v>
      </c>
      <c r="R148" s="32">
        <v>67.741817129629595</v>
      </c>
      <c r="S148" s="32">
        <v>67.741817129629595</v>
      </c>
      <c r="T148" s="32">
        <v>0</v>
      </c>
      <c r="U148" s="32">
        <v>1</v>
      </c>
      <c r="V148" s="32">
        <v>66.968020833333298</v>
      </c>
      <c r="W148" s="32">
        <v>56</v>
      </c>
      <c r="X148" s="32">
        <v>3.75</v>
      </c>
      <c r="Y148" s="32">
        <v>3.75</v>
      </c>
      <c r="Z148" s="32">
        <v>0</v>
      </c>
      <c r="AA148" s="32">
        <v>0</v>
      </c>
      <c r="AC148" s="29"/>
    </row>
    <row r="149" spans="1:29" x14ac:dyDescent="0.25">
      <c r="A149" s="28" t="s">
        <v>359</v>
      </c>
      <c r="B149" s="28" t="s">
        <v>18</v>
      </c>
      <c r="C149" s="28" t="s">
        <v>15</v>
      </c>
      <c r="D149" s="28" t="s">
        <v>154</v>
      </c>
      <c r="E149" s="28" t="s">
        <v>21</v>
      </c>
      <c r="F149" s="28" t="s">
        <v>505</v>
      </c>
      <c r="G149" s="28" t="s">
        <v>512</v>
      </c>
      <c r="H149" s="28" t="s">
        <v>513</v>
      </c>
      <c r="I149" s="28" t="s">
        <v>516</v>
      </c>
      <c r="J149" s="28" t="s">
        <v>516</v>
      </c>
      <c r="K149" s="28" t="s">
        <v>529</v>
      </c>
      <c r="L149" s="28" t="s">
        <v>539</v>
      </c>
      <c r="M149" s="31">
        <v>42324</v>
      </c>
      <c r="N149" s="31"/>
      <c r="O149" s="31"/>
      <c r="P149" s="28" t="s">
        <v>101</v>
      </c>
      <c r="Q149" s="33">
        <v>1</v>
      </c>
      <c r="R149" s="33">
        <v>0.26582175925925899</v>
      </c>
      <c r="S149" s="33">
        <v>0.26582175925925899</v>
      </c>
      <c r="T149" s="33">
        <v>0</v>
      </c>
      <c r="U149" s="33">
        <v>1</v>
      </c>
      <c r="V149" s="33">
        <v>0.26427083333333301</v>
      </c>
      <c r="W149" s="33">
        <v>140</v>
      </c>
      <c r="X149" s="33">
        <v>1.5</v>
      </c>
      <c r="Y149" s="33">
        <v>1.5</v>
      </c>
      <c r="Z149" s="33">
        <v>0</v>
      </c>
      <c r="AA149" s="33">
        <v>1</v>
      </c>
      <c r="AC149" s="29"/>
    </row>
    <row r="150" spans="1:29" x14ac:dyDescent="0.25">
      <c r="A150" s="27" t="s">
        <v>360</v>
      </c>
      <c r="B150" s="27" t="s">
        <v>14</v>
      </c>
      <c r="C150" s="27" t="s">
        <v>13</v>
      </c>
      <c r="D150" s="27" t="s">
        <v>154</v>
      </c>
      <c r="E150" s="27" t="s">
        <v>21</v>
      </c>
      <c r="F150" s="27" t="s">
        <v>505</v>
      </c>
      <c r="G150" s="27" t="s">
        <v>512</v>
      </c>
      <c r="H150" s="27" t="s">
        <v>513</v>
      </c>
      <c r="I150" s="27" t="s">
        <v>517</v>
      </c>
      <c r="J150" s="27" t="s">
        <v>522</v>
      </c>
      <c r="K150" s="27" t="s">
        <v>529</v>
      </c>
      <c r="L150" s="27" t="s">
        <v>539</v>
      </c>
      <c r="M150" s="30">
        <v>42333</v>
      </c>
      <c r="N150" s="30">
        <v>42340</v>
      </c>
      <c r="O150" s="30">
        <v>42382</v>
      </c>
      <c r="P150" s="27" t="s">
        <v>106</v>
      </c>
      <c r="Q150" s="32">
        <v>1</v>
      </c>
      <c r="R150" s="32">
        <v>48.803067129629603</v>
      </c>
      <c r="S150" s="32">
        <v>90.046608796296297</v>
      </c>
      <c r="T150" s="32">
        <v>1</v>
      </c>
      <c r="U150" s="32">
        <v>1</v>
      </c>
      <c r="V150" s="32">
        <v>48.801967592592597</v>
      </c>
      <c r="W150" s="32">
        <v>56</v>
      </c>
      <c r="X150" s="32">
        <v>40</v>
      </c>
      <c r="Y150" s="32">
        <v>7</v>
      </c>
      <c r="Z150" s="32">
        <v>33</v>
      </c>
      <c r="AA150" s="32">
        <v>1</v>
      </c>
      <c r="AC150" s="29"/>
    </row>
    <row r="151" spans="1:29" x14ac:dyDescent="0.25">
      <c r="A151" s="28" t="s">
        <v>361</v>
      </c>
      <c r="B151" s="28" t="s">
        <v>14</v>
      </c>
      <c r="C151" s="28" t="s">
        <v>15</v>
      </c>
      <c r="D151" s="28" t="s">
        <v>154</v>
      </c>
      <c r="E151" s="28" t="s">
        <v>21</v>
      </c>
      <c r="F151" s="28" t="s">
        <v>505</v>
      </c>
      <c r="G151" s="28" t="s">
        <v>512</v>
      </c>
      <c r="H151" s="28" t="s">
        <v>513</v>
      </c>
      <c r="I151" s="28" t="s">
        <v>517</v>
      </c>
      <c r="J151" s="28" t="s">
        <v>522</v>
      </c>
      <c r="K151" s="28" t="s">
        <v>529</v>
      </c>
      <c r="L151" s="28" t="s">
        <v>539</v>
      </c>
      <c r="M151" s="31">
        <v>42340</v>
      </c>
      <c r="N151" s="31">
        <v>42346</v>
      </c>
      <c r="O151" s="31">
        <v>42383</v>
      </c>
      <c r="P151" s="28" t="s">
        <v>102</v>
      </c>
      <c r="Q151" s="33">
        <v>1</v>
      </c>
      <c r="R151" s="33">
        <v>44.134872685185201</v>
      </c>
      <c r="S151" s="33">
        <v>44.134872685185201</v>
      </c>
      <c r="T151" s="33">
        <v>1</v>
      </c>
      <c r="U151" s="33">
        <v>1</v>
      </c>
      <c r="V151" s="33">
        <v>44.133564814814797</v>
      </c>
      <c r="W151" s="33">
        <v>140</v>
      </c>
      <c r="X151" s="33">
        <v>21.25</v>
      </c>
      <c r="Y151" s="33">
        <v>9.25</v>
      </c>
      <c r="Z151" s="33">
        <v>12</v>
      </c>
      <c r="AA151" s="33">
        <v>1</v>
      </c>
      <c r="AC151" s="29"/>
    </row>
    <row r="152" spans="1:29" x14ac:dyDescent="0.25">
      <c r="A152" s="27" t="s">
        <v>362</v>
      </c>
      <c r="B152" s="27" t="s">
        <v>14</v>
      </c>
      <c r="C152" s="27" t="s">
        <v>16</v>
      </c>
      <c r="D152" s="27" t="s">
        <v>154</v>
      </c>
      <c r="E152" s="27" t="s">
        <v>21</v>
      </c>
      <c r="F152" s="27" t="s">
        <v>506</v>
      </c>
      <c r="G152" s="27" t="s">
        <v>511</v>
      </c>
      <c r="H152" s="27" t="s">
        <v>513</v>
      </c>
      <c r="I152" s="27" t="s">
        <v>516</v>
      </c>
      <c r="J152" s="27" t="s">
        <v>516</v>
      </c>
      <c r="K152" s="27" t="s">
        <v>529</v>
      </c>
      <c r="L152" s="27" t="s">
        <v>539</v>
      </c>
      <c r="M152" s="30">
        <v>42341</v>
      </c>
      <c r="N152" s="30"/>
      <c r="O152" s="30"/>
      <c r="P152" s="27" t="s">
        <v>104</v>
      </c>
      <c r="Q152" s="32">
        <v>1</v>
      </c>
      <c r="R152" s="32">
        <v>9.28240740740741E-2</v>
      </c>
      <c r="S152" s="32">
        <v>9.28240740740741E-2</v>
      </c>
      <c r="T152" s="32">
        <v>0</v>
      </c>
      <c r="U152" s="32">
        <v>1</v>
      </c>
      <c r="V152" s="32">
        <v>9.1643518518518499E-2</v>
      </c>
      <c r="W152" s="32">
        <v>28</v>
      </c>
      <c r="X152" s="32">
        <v>1</v>
      </c>
      <c r="Y152" s="32">
        <v>1</v>
      </c>
      <c r="Z152" s="32">
        <v>0</v>
      </c>
      <c r="AA152" s="32">
        <v>1</v>
      </c>
      <c r="AC152" s="29"/>
    </row>
    <row r="153" spans="1:29" x14ac:dyDescent="0.25">
      <c r="A153" s="28" t="s">
        <v>363</v>
      </c>
      <c r="B153" s="28" t="s">
        <v>14</v>
      </c>
      <c r="C153" s="28" t="s">
        <v>13</v>
      </c>
      <c r="D153" s="28" t="s">
        <v>154</v>
      </c>
      <c r="E153" s="28" t="s">
        <v>21</v>
      </c>
      <c r="F153" s="28" t="s">
        <v>506</v>
      </c>
      <c r="G153" s="28" t="s">
        <v>511</v>
      </c>
      <c r="H153" s="28" t="s">
        <v>513</v>
      </c>
      <c r="I153" s="28" t="s">
        <v>517</v>
      </c>
      <c r="J153" s="28" t="s">
        <v>522</v>
      </c>
      <c r="K153" s="28" t="s">
        <v>529</v>
      </c>
      <c r="L153" s="28" t="s">
        <v>539</v>
      </c>
      <c r="M153" s="31">
        <v>42342</v>
      </c>
      <c r="N153" s="31">
        <v>42343</v>
      </c>
      <c r="O153" s="31">
        <v>42369</v>
      </c>
      <c r="P153" s="28" t="s">
        <v>105</v>
      </c>
      <c r="Q153" s="33">
        <v>1</v>
      </c>
      <c r="R153" s="33">
        <v>55.226261574074101</v>
      </c>
      <c r="S153" s="33">
        <v>55.226261574074101</v>
      </c>
      <c r="T153" s="33">
        <v>1</v>
      </c>
      <c r="U153" s="33">
        <v>1</v>
      </c>
      <c r="V153" s="33">
        <v>35.3223611111111</v>
      </c>
      <c r="W153" s="33">
        <v>56</v>
      </c>
      <c r="X153" s="33">
        <v>20</v>
      </c>
      <c r="Y153" s="33">
        <v>8</v>
      </c>
      <c r="Z153" s="33">
        <v>12</v>
      </c>
      <c r="AA153" s="33">
        <v>1</v>
      </c>
      <c r="AC153" s="29"/>
    </row>
    <row r="154" spans="1:29" x14ac:dyDescent="0.25">
      <c r="A154" s="27" t="s">
        <v>364</v>
      </c>
      <c r="B154" s="27" t="s">
        <v>14</v>
      </c>
      <c r="C154" s="27" t="s">
        <v>13</v>
      </c>
      <c r="D154" s="27" t="s">
        <v>154</v>
      </c>
      <c r="E154" s="27" t="s">
        <v>21</v>
      </c>
      <c r="F154" s="27" t="s">
        <v>505</v>
      </c>
      <c r="G154" s="27" t="s">
        <v>509</v>
      </c>
      <c r="H154" s="27" t="s">
        <v>513</v>
      </c>
      <c r="I154" s="27" t="s">
        <v>517</v>
      </c>
      <c r="J154" s="27" t="s">
        <v>523</v>
      </c>
      <c r="K154" s="27" t="s">
        <v>529</v>
      </c>
      <c r="L154" s="27" t="s">
        <v>539</v>
      </c>
      <c r="M154" s="30">
        <v>42347</v>
      </c>
      <c r="N154" s="30">
        <v>42349</v>
      </c>
      <c r="O154" s="30">
        <v>42380</v>
      </c>
      <c r="P154" s="27" t="s">
        <v>104</v>
      </c>
      <c r="Q154" s="32">
        <v>1</v>
      </c>
      <c r="R154" s="32">
        <v>32.754375000000003</v>
      </c>
      <c r="S154" s="32">
        <v>32.754375000000003</v>
      </c>
      <c r="T154" s="32">
        <v>1</v>
      </c>
      <c r="U154" s="32">
        <v>1</v>
      </c>
      <c r="V154" s="32">
        <v>32.753564814814801</v>
      </c>
      <c r="W154" s="32">
        <v>56</v>
      </c>
      <c r="X154" s="32">
        <v>20.5</v>
      </c>
      <c r="Y154" s="32">
        <v>5.5</v>
      </c>
      <c r="Z154" s="32">
        <v>15</v>
      </c>
      <c r="AA154" s="32">
        <v>1</v>
      </c>
      <c r="AC154" s="29"/>
    </row>
    <row r="155" spans="1:29" x14ac:dyDescent="0.25">
      <c r="A155" s="28" t="s">
        <v>365</v>
      </c>
      <c r="B155" s="28" t="s">
        <v>14</v>
      </c>
      <c r="C155" s="28" t="s">
        <v>15</v>
      </c>
      <c r="D155" s="28" t="s">
        <v>154</v>
      </c>
      <c r="E155" s="28" t="s">
        <v>21</v>
      </c>
      <c r="F155" s="28" t="s">
        <v>505</v>
      </c>
      <c r="G155" s="28" t="s">
        <v>512</v>
      </c>
      <c r="H155" s="28" t="s">
        <v>513</v>
      </c>
      <c r="I155" s="28" t="s">
        <v>516</v>
      </c>
      <c r="J155" s="28" t="s">
        <v>516</v>
      </c>
      <c r="K155" s="28" t="s">
        <v>529</v>
      </c>
      <c r="L155" s="28" t="s">
        <v>539</v>
      </c>
      <c r="M155" s="31">
        <v>42352</v>
      </c>
      <c r="N155" s="31"/>
      <c r="O155" s="31"/>
      <c r="P155" s="28" t="s">
        <v>105</v>
      </c>
      <c r="Q155" s="33">
        <v>1</v>
      </c>
      <c r="R155" s="33">
        <v>76.152662037037004</v>
      </c>
      <c r="S155" s="33">
        <v>101.09452546296301</v>
      </c>
      <c r="T155" s="33">
        <v>0</v>
      </c>
      <c r="U155" s="33">
        <v>1</v>
      </c>
      <c r="V155" s="33">
        <v>71.208483796296306</v>
      </c>
      <c r="W155" s="33">
        <v>140</v>
      </c>
      <c r="X155" s="33">
        <v>7</v>
      </c>
      <c r="Y155" s="33">
        <v>7</v>
      </c>
      <c r="Z155" s="33">
        <v>0</v>
      </c>
      <c r="AA155" s="33">
        <v>1</v>
      </c>
      <c r="AC155" s="29"/>
    </row>
    <row r="156" spans="1:29" x14ac:dyDescent="0.25">
      <c r="A156" s="27" t="s">
        <v>366</v>
      </c>
      <c r="B156" s="27" t="s">
        <v>14</v>
      </c>
      <c r="C156" s="27" t="s">
        <v>13</v>
      </c>
      <c r="D156" s="27" t="s">
        <v>154</v>
      </c>
      <c r="E156" s="27" t="s">
        <v>21</v>
      </c>
      <c r="F156" s="27" t="s">
        <v>506</v>
      </c>
      <c r="G156" s="27" t="s">
        <v>511</v>
      </c>
      <c r="H156" s="27" t="s">
        <v>513</v>
      </c>
      <c r="I156" s="27" t="s">
        <v>516</v>
      </c>
      <c r="J156" s="27" t="s">
        <v>516</v>
      </c>
      <c r="K156" s="27" t="s">
        <v>529</v>
      </c>
      <c r="L156" s="27" t="s">
        <v>539</v>
      </c>
      <c r="M156" s="30">
        <v>42353</v>
      </c>
      <c r="N156" s="30"/>
      <c r="O156" s="30"/>
      <c r="P156" s="27" t="s">
        <v>113</v>
      </c>
      <c r="Q156" s="32">
        <v>1</v>
      </c>
      <c r="R156" s="32">
        <v>44.169166666666698</v>
      </c>
      <c r="S156" s="32">
        <v>44.169166666666698</v>
      </c>
      <c r="T156" s="32">
        <v>0</v>
      </c>
      <c r="U156" s="32">
        <v>1</v>
      </c>
      <c r="V156" s="32">
        <v>28.350381944444401</v>
      </c>
      <c r="W156" s="32">
        <v>56</v>
      </c>
      <c r="X156" s="32">
        <v>30</v>
      </c>
      <c r="Y156" s="32">
        <v>30</v>
      </c>
      <c r="Z156" s="32">
        <v>0</v>
      </c>
      <c r="AA156" s="32">
        <v>1</v>
      </c>
      <c r="AC156" s="29"/>
    </row>
    <row r="157" spans="1:29" x14ac:dyDescent="0.25">
      <c r="A157" s="28" t="s">
        <v>367</v>
      </c>
      <c r="B157" s="28" t="s">
        <v>14</v>
      </c>
      <c r="C157" s="28" t="s">
        <v>16</v>
      </c>
      <c r="D157" s="28" t="s">
        <v>154</v>
      </c>
      <c r="E157" s="28" t="s">
        <v>21</v>
      </c>
      <c r="F157" s="28" t="s">
        <v>506</v>
      </c>
      <c r="G157" s="28" t="s">
        <v>511</v>
      </c>
      <c r="H157" s="28" t="s">
        <v>513</v>
      </c>
      <c r="I157" s="28" t="s">
        <v>516</v>
      </c>
      <c r="J157" s="28" t="s">
        <v>516</v>
      </c>
      <c r="K157" s="28" t="s">
        <v>529</v>
      </c>
      <c r="L157" s="28" t="s">
        <v>539</v>
      </c>
      <c r="M157" s="31">
        <v>42353</v>
      </c>
      <c r="N157" s="31"/>
      <c r="O157" s="31"/>
      <c r="P157" s="28" t="s">
        <v>101</v>
      </c>
      <c r="Q157" s="33">
        <v>1</v>
      </c>
      <c r="R157" s="33">
        <v>24.051944444444398</v>
      </c>
      <c r="S157" s="33">
        <v>24.051944444444398</v>
      </c>
      <c r="T157" s="33">
        <v>0</v>
      </c>
      <c r="U157" s="33">
        <v>1</v>
      </c>
      <c r="V157" s="33">
        <v>3.2669907407407401</v>
      </c>
      <c r="W157" s="33">
        <v>28</v>
      </c>
      <c r="X157" s="33">
        <v>9</v>
      </c>
      <c r="Y157" s="33">
        <v>9</v>
      </c>
      <c r="Z157" s="33">
        <v>0</v>
      </c>
      <c r="AA157" s="33">
        <v>1</v>
      </c>
      <c r="AC157" s="29"/>
    </row>
    <row r="158" spans="1:29" x14ac:dyDescent="0.25">
      <c r="A158" s="27" t="s">
        <v>368</v>
      </c>
      <c r="B158" s="27" t="s">
        <v>19</v>
      </c>
      <c r="C158" s="27" t="s">
        <v>13</v>
      </c>
      <c r="D158" s="27" t="s">
        <v>504</v>
      </c>
      <c r="E158" s="27" t="s">
        <v>21</v>
      </c>
      <c r="F158" s="27" t="s">
        <v>506</v>
      </c>
      <c r="G158" s="27" t="s">
        <v>511</v>
      </c>
      <c r="H158" s="27" t="s">
        <v>513</v>
      </c>
      <c r="I158" s="27" t="s">
        <v>517</v>
      </c>
      <c r="J158" s="27" t="s">
        <v>523</v>
      </c>
      <c r="K158" s="27" t="s">
        <v>529</v>
      </c>
      <c r="L158" s="27" t="s">
        <v>539</v>
      </c>
      <c r="M158" s="30">
        <v>42353</v>
      </c>
      <c r="N158" s="30">
        <v>42354</v>
      </c>
      <c r="O158" s="30">
        <v>42381</v>
      </c>
      <c r="P158" s="27" t="s">
        <v>101</v>
      </c>
      <c r="Q158" s="32">
        <v>1</v>
      </c>
      <c r="R158" s="32">
        <v>30.8558680555556</v>
      </c>
      <c r="S158" s="32">
        <v>30.8558680555556</v>
      </c>
      <c r="T158" s="32">
        <v>1</v>
      </c>
      <c r="U158" s="32">
        <v>1</v>
      </c>
      <c r="V158" s="32">
        <v>29.070092592592601</v>
      </c>
      <c r="W158" s="32">
        <v>56</v>
      </c>
      <c r="X158" s="32">
        <v>7.5</v>
      </c>
      <c r="Y158" s="32">
        <v>1.5</v>
      </c>
      <c r="Z158" s="32">
        <v>6</v>
      </c>
      <c r="AA158" s="32">
        <v>1</v>
      </c>
      <c r="AC158" s="29"/>
    </row>
    <row r="159" spans="1:29" x14ac:dyDescent="0.25">
      <c r="A159" s="28" t="s">
        <v>369</v>
      </c>
      <c r="B159" s="28" t="s">
        <v>14</v>
      </c>
      <c r="C159" s="28" t="s">
        <v>13</v>
      </c>
      <c r="D159" s="28" t="s">
        <v>154</v>
      </c>
      <c r="E159" s="28" t="s">
        <v>21</v>
      </c>
      <c r="F159" s="28" t="s">
        <v>505</v>
      </c>
      <c r="G159" s="28" t="s">
        <v>512</v>
      </c>
      <c r="H159" s="28" t="s">
        <v>513</v>
      </c>
      <c r="I159" s="28" t="s">
        <v>516</v>
      </c>
      <c r="J159" s="28" t="s">
        <v>516</v>
      </c>
      <c r="K159" s="28" t="s">
        <v>529</v>
      </c>
      <c r="L159" s="28" t="s">
        <v>539</v>
      </c>
      <c r="M159" s="31">
        <v>42355</v>
      </c>
      <c r="N159" s="31"/>
      <c r="O159" s="31"/>
      <c r="P159" s="28" t="s">
        <v>105</v>
      </c>
      <c r="Q159" s="33">
        <v>1</v>
      </c>
      <c r="R159" s="33">
        <v>1.0150694444444399</v>
      </c>
      <c r="S159" s="33">
        <v>88.924675925925897</v>
      </c>
      <c r="T159" s="33">
        <v>0</v>
      </c>
      <c r="U159" s="33">
        <v>1</v>
      </c>
      <c r="V159" s="33">
        <v>1.014375</v>
      </c>
      <c r="W159" s="33">
        <v>56</v>
      </c>
      <c r="X159" s="33">
        <v>20.5</v>
      </c>
      <c r="Y159" s="33">
        <v>20.5</v>
      </c>
      <c r="Z159" s="33">
        <v>0</v>
      </c>
      <c r="AA159" s="33">
        <v>1</v>
      </c>
      <c r="AC159" s="29"/>
    </row>
    <row r="160" spans="1:29" x14ac:dyDescent="0.25">
      <c r="A160" s="27" t="s">
        <v>370</v>
      </c>
      <c r="B160" s="27" t="s">
        <v>14</v>
      </c>
      <c r="C160" s="27" t="s">
        <v>15</v>
      </c>
      <c r="D160" s="27" t="s">
        <v>154</v>
      </c>
      <c r="E160" s="27" t="s">
        <v>21</v>
      </c>
      <c r="F160" s="27" t="s">
        <v>505</v>
      </c>
      <c r="G160" s="27" t="s">
        <v>512</v>
      </c>
      <c r="H160" s="27" t="s">
        <v>513</v>
      </c>
      <c r="I160" s="27" t="s">
        <v>516</v>
      </c>
      <c r="J160" s="27" t="s">
        <v>516</v>
      </c>
      <c r="K160" s="27" t="s">
        <v>529</v>
      </c>
      <c r="L160" s="27" t="s">
        <v>539</v>
      </c>
      <c r="M160" s="30">
        <v>42359</v>
      </c>
      <c r="N160" s="30"/>
      <c r="O160" s="30"/>
      <c r="P160" s="27" t="s">
        <v>112</v>
      </c>
      <c r="Q160" s="32">
        <v>1</v>
      </c>
      <c r="R160" s="32">
        <v>37.9707986111111</v>
      </c>
      <c r="S160" s="32">
        <v>37.9707986111111</v>
      </c>
      <c r="T160" s="32">
        <v>0</v>
      </c>
      <c r="U160" s="32">
        <v>1</v>
      </c>
      <c r="V160" s="32">
        <v>37.969965277777803</v>
      </c>
      <c r="W160" s="32">
        <v>140</v>
      </c>
      <c r="X160" s="32">
        <v>24</v>
      </c>
      <c r="Y160" s="32">
        <v>24</v>
      </c>
      <c r="Z160" s="32">
        <v>0</v>
      </c>
      <c r="AA160" s="32">
        <v>1</v>
      </c>
      <c r="AC160" s="29"/>
    </row>
    <row r="161" spans="1:29" x14ac:dyDescent="0.25">
      <c r="A161" s="28" t="s">
        <v>371</v>
      </c>
      <c r="B161" s="28" t="s">
        <v>14</v>
      </c>
      <c r="C161" s="28" t="s">
        <v>15</v>
      </c>
      <c r="D161" s="28" t="s">
        <v>154</v>
      </c>
      <c r="E161" s="28" t="s">
        <v>21</v>
      </c>
      <c r="F161" s="28" t="s">
        <v>506</v>
      </c>
      <c r="G161" s="28" t="s">
        <v>511</v>
      </c>
      <c r="H161" s="28" t="s">
        <v>513</v>
      </c>
      <c r="I161" s="28" t="s">
        <v>516</v>
      </c>
      <c r="J161" s="28" t="s">
        <v>516</v>
      </c>
      <c r="K161" s="28" t="s">
        <v>529</v>
      </c>
      <c r="L161" s="28" t="s">
        <v>539</v>
      </c>
      <c r="M161" s="31">
        <v>42367</v>
      </c>
      <c r="N161" s="31"/>
      <c r="O161" s="31"/>
      <c r="P161" s="28" t="s">
        <v>104</v>
      </c>
      <c r="Q161" s="33">
        <v>1</v>
      </c>
      <c r="R161" s="33">
        <v>57.044085648148098</v>
      </c>
      <c r="S161" s="33">
        <v>57.046377314814798</v>
      </c>
      <c r="T161" s="33">
        <v>0</v>
      </c>
      <c r="U161" s="33">
        <v>1</v>
      </c>
      <c r="V161" s="33">
        <v>57.043425925925902</v>
      </c>
      <c r="W161" s="33">
        <v>140</v>
      </c>
      <c r="X161" s="33">
        <v>0</v>
      </c>
      <c r="Y161" s="33">
        <v>0</v>
      </c>
      <c r="Z161" s="33">
        <v>0</v>
      </c>
      <c r="AA161" s="33">
        <v>1</v>
      </c>
      <c r="AC161" s="29"/>
    </row>
    <row r="162" spans="1:29" x14ac:dyDescent="0.25">
      <c r="A162" s="27" t="s">
        <v>372</v>
      </c>
      <c r="B162" s="27" t="s">
        <v>14</v>
      </c>
      <c r="C162" s="27" t="s">
        <v>13</v>
      </c>
      <c r="D162" s="27" t="s">
        <v>154</v>
      </c>
      <c r="E162" s="27" t="s">
        <v>21</v>
      </c>
      <c r="F162" s="27" t="s">
        <v>505</v>
      </c>
      <c r="G162" s="27" t="s">
        <v>512</v>
      </c>
      <c r="H162" s="27" t="s">
        <v>513</v>
      </c>
      <c r="I162" s="27" t="s">
        <v>516</v>
      </c>
      <c r="J162" s="27" t="s">
        <v>516</v>
      </c>
      <c r="K162" s="27" t="s">
        <v>529</v>
      </c>
      <c r="L162" s="27" t="s">
        <v>539</v>
      </c>
      <c r="M162" s="30">
        <v>42367</v>
      </c>
      <c r="N162" s="30"/>
      <c r="O162" s="30"/>
      <c r="P162" s="27" t="s">
        <v>101</v>
      </c>
      <c r="Q162" s="32">
        <v>1</v>
      </c>
      <c r="R162" s="32">
        <v>2.2369791666666701</v>
      </c>
      <c r="S162" s="32">
        <v>2.2369791666666701</v>
      </c>
      <c r="T162" s="32">
        <v>0</v>
      </c>
      <c r="U162" s="32">
        <v>1</v>
      </c>
      <c r="V162" s="32">
        <v>2.2228587962963</v>
      </c>
      <c r="W162" s="32">
        <v>56</v>
      </c>
      <c r="X162" s="32">
        <v>5</v>
      </c>
      <c r="Y162" s="32">
        <v>5</v>
      </c>
      <c r="Z162" s="32">
        <v>0</v>
      </c>
      <c r="AA162" s="32">
        <v>1</v>
      </c>
      <c r="AC162" s="29"/>
    </row>
    <row r="163" spans="1:29" x14ac:dyDescent="0.25">
      <c r="A163" s="28" t="s">
        <v>373</v>
      </c>
      <c r="B163" s="28" t="s">
        <v>14</v>
      </c>
      <c r="C163" s="28" t="s">
        <v>15</v>
      </c>
      <c r="D163" s="28" t="s">
        <v>154</v>
      </c>
      <c r="E163" s="28" t="s">
        <v>21</v>
      </c>
      <c r="F163" s="28" t="s">
        <v>506</v>
      </c>
      <c r="G163" s="28" t="s">
        <v>511</v>
      </c>
      <c r="H163" s="28" t="s">
        <v>513</v>
      </c>
      <c r="I163" s="28" t="s">
        <v>516</v>
      </c>
      <c r="J163" s="28" t="s">
        <v>516</v>
      </c>
      <c r="K163" s="28" t="s">
        <v>529</v>
      </c>
      <c r="L163" s="28" t="s">
        <v>539</v>
      </c>
      <c r="M163" s="31">
        <v>42367</v>
      </c>
      <c r="N163" s="31"/>
      <c r="O163" s="31"/>
      <c r="P163" s="28" t="s">
        <v>104</v>
      </c>
      <c r="Q163" s="33">
        <v>1</v>
      </c>
      <c r="R163" s="33">
        <v>20.827905092592601</v>
      </c>
      <c r="S163" s="33">
        <v>20.827905092592601</v>
      </c>
      <c r="T163" s="33">
        <v>0</v>
      </c>
      <c r="U163" s="33">
        <v>1</v>
      </c>
      <c r="V163" s="33">
        <v>20.826134259259302</v>
      </c>
      <c r="W163" s="33">
        <v>140</v>
      </c>
      <c r="X163" s="33">
        <v>0.5</v>
      </c>
      <c r="Y163" s="33">
        <v>0.5</v>
      </c>
      <c r="Z163" s="33">
        <v>0</v>
      </c>
      <c r="AA163" s="33">
        <v>1</v>
      </c>
      <c r="AC163" s="29"/>
    </row>
    <row r="164" spans="1:29" x14ac:dyDescent="0.25">
      <c r="A164" s="27" t="s">
        <v>374</v>
      </c>
      <c r="B164" s="27" t="s">
        <v>14</v>
      </c>
      <c r="C164" s="27" t="s">
        <v>16</v>
      </c>
      <c r="D164" s="27" t="s">
        <v>154</v>
      </c>
      <c r="E164" s="27" t="s">
        <v>21</v>
      </c>
      <c r="F164" s="27" t="s">
        <v>506</v>
      </c>
      <c r="G164" s="27" t="s">
        <v>511</v>
      </c>
      <c r="H164" s="27" t="s">
        <v>513</v>
      </c>
      <c r="I164" s="27" t="s">
        <v>517</v>
      </c>
      <c r="J164" s="27" t="s">
        <v>522</v>
      </c>
      <c r="K164" s="27" t="s">
        <v>529</v>
      </c>
      <c r="L164" s="27" t="s">
        <v>539</v>
      </c>
      <c r="M164" s="30">
        <v>42368</v>
      </c>
      <c r="N164" s="30">
        <v>42373</v>
      </c>
      <c r="O164" s="30">
        <v>42388</v>
      </c>
      <c r="P164" s="27" t="s">
        <v>102</v>
      </c>
      <c r="Q164" s="32">
        <v>1</v>
      </c>
      <c r="R164" s="32">
        <v>20.080474537036999</v>
      </c>
      <c r="S164" s="32">
        <v>20.080474537036999</v>
      </c>
      <c r="T164" s="32">
        <v>1</v>
      </c>
      <c r="U164" s="32">
        <v>1</v>
      </c>
      <c r="V164" s="32">
        <v>20.0795833333333</v>
      </c>
      <c r="W164" s="32">
        <v>28</v>
      </c>
      <c r="X164" s="32">
        <v>21</v>
      </c>
      <c r="Y164" s="32">
        <v>9</v>
      </c>
      <c r="Z164" s="32">
        <v>12</v>
      </c>
      <c r="AA164" s="32">
        <v>1</v>
      </c>
      <c r="AC164" s="29"/>
    </row>
    <row r="165" spans="1:29" x14ac:dyDescent="0.25">
      <c r="A165" s="28" t="s">
        <v>375</v>
      </c>
      <c r="B165" s="28" t="s">
        <v>14</v>
      </c>
      <c r="C165" s="28" t="s">
        <v>16</v>
      </c>
      <c r="D165" s="28" t="s">
        <v>154</v>
      </c>
      <c r="E165" s="28" t="s">
        <v>21</v>
      </c>
      <c r="F165" s="28" t="s">
        <v>505</v>
      </c>
      <c r="G165" s="28" t="s">
        <v>512</v>
      </c>
      <c r="H165" s="28" t="s">
        <v>513</v>
      </c>
      <c r="I165" s="28" t="s">
        <v>516</v>
      </c>
      <c r="J165" s="28" t="s">
        <v>516</v>
      </c>
      <c r="K165" s="28" t="s">
        <v>529</v>
      </c>
      <c r="L165" s="28" t="s">
        <v>539</v>
      </c>
      <c r="M165" s="31">
        <v>42377</v>
      </c>
      <c r="N165" s="31"/>
      <c r="O165" s="31"/>
      <c r="P165" s="28" t="s">
        <v>102</v>
      </c>
      <c r="Q165" s="33">
        <v>1</v>
      </c>
      <c r="R165" s="33">
        <v>0.30146990740740698</v>
      </c>
      <c r="S165" s="33">
        <v>0.30146990740740698</v>
      </c>
      <c r="T165" s="33">
        <v>0</v>
      </c>
      <c r="U165" s="33">
        <v>1</v>
      </c>
      <c r="V165" s="33">
        <v>0.29971064814814802</v>
      </c>
      <c r="W165" s="33">
        <v>28</v>
      </c>
      <c r="X165" s="33">
        <v>2</v>
      </c>
      <c r="Y165" s="33">
        <v>2</v>
      </c>
      <c r="Z165" s="33">
        <v>0</v>
      </c>
      <c r="AA165" s="33">
        <v>1</v>
      </c>
      <c r="AC165" s="29"/>
    </row>
    <row r="166" spans="1:29" x14ac:dyDescent="0.25">
      <c r="A166" s="27" t="s">
        <v>376</v>
      </c>
      <c r="B166" s="27" t="s">
        <v>14</v>
      </c>
      <c r="C166" s="27" t="s">
        <v>16</v>
      </c>
      <c r="D166" s="27" t="s">
        <v>154</v>
      </c>
      <c r="E166" s="27" t="s">
        <v>21</v>
      </c>
      <c r="F166" s="27" t="s">
        <v>506</v>
      </c>
      <c r="G166" s="27" t="s">
        <v>511</v>
      </c>
      <c r="H166" s="27" t="s">
        <v>513</v>
      </c>
      <c r="I166" s="27" t="s">
        <v>516</v>
      </c>
      <c r="J166" s="27" t="s">
        <v>516</v>
      </c>
      <c r="K166" s="27" t="s">
        <v>529</v>
      </c>
      <c r="L166" s="27" t="s">
        <v>539</v>
      </c>
      <c r="M166" s="30">
        <v>42383</v>
      </c>
      <c r="N166" s="30"/>
      <c r="O166" s="30"/>
      <c r="P166" s="27" t="s">
        <v>102</v>
      </c>
      <c r="Q166" s="32">
        <v>1</v>
      </c>
      <c r="R166" s="32">
        <v>0.19187499999999999</v>
      </c>
      <c r="S166" s="32">
        <v>0.19187499999999999</v>
      </c>
      <c r="T166" s="32">
        <v>0</v>
      </c>
      <c r="U166" s="32">
        <v>1</v>
      </c>
      <c r="V166" s="32">
        <v>0.19049768518518501</v>
      </c>
      <c r="W166" s="32">
        <v>28</v>
      </c>
      <c r="X166" s="32">
        <v>2</v>
      </c>
      <c r="Y166" s="32">
        <v>2</v>
      </c>
      <c r="Z166" s="32">
        <v>0</v>
      </c>
      <c r="AA166" s="32">
        <v>1</v>
      </c>
      <c r="AC166" s="29"/>
    </row>
    <row r="167" spans="1:29" x14ac:dyDescent="0.25">
      <c r="A167" s="28" t="s">
        <v>377</v>
      </c>
      <c r="B167" s="28" t="s">
        <v>14</v>
      </c>
      <c r="C167" s="28" t="s">
        <v>13</v>
      </c>
      <c r="D167" s="28" t="s">
        <v>154</v>
      </c>
      <c r="E167" s="28" t="s">
        <v>21</v>
      </c>
      <c r="F167" s="28" t="s">
        <v>505</v>
      </c>
      <c r="G167" s="28" t="s">
        <v>512</v>
      </c>
      <c r="H167" s="28" t="s">
        <v>513</v>
      </c>
      <c r="I167" s="28" t="s">
        <v>516</v>
      </c>
      <c r="J167" s="28" t="s">
        <v>516</v>
      </c>
      <c r="K167" s="28" t="s">
        <v>529</v>
      </c>
      <c r="L167" s="28" t="s">
        <v>539</v>
      </c>
      <c r="M167" s="31">
        <v>42383</v>
      </c>
      <c r="N167" s="31"/>
      <c r="O167" s="31"/>
      <c r="P167" s="28" t="s">
        <v>102</v>
      </c>
      <c r="Q167" s="33">
        <v>1</v>
      </c>
      <c r="R167" s="33">
        <v>0.110613425925926</v>
      </c>
      <c r="S167" s="33">
        <v>0.110613425925926</v>
      </c>
      <c r="T167" s="33">
        <v>0</v>
      </c>
      <c r="U167" s="33">
        <v>1</v>
      </c>
      <c r="V167" s="33">
        <v>9.0312500000000004E-2</v>
      </c>
      <c r="W167" s="33">
        <v>56</v>
      </c>
      <c r="X167" s="33">
        <v>2</v>
      </c>
      <c r="Y167" s="33">
        <v>2</v>
      </c>
      <c r="Z167" s="33">
        <v>0</v>
      </c>
      <c r="AA167" s="33">
        <v>1</v>
      </c>
      <c r="AC167" s="29"/>
    </row>
    <row r="168" spans="1:29" x14ac:dyDescent="0.25">
      <c r="A168" s="27" t="s">
        <v>378</v>
      </c>
      <c r="B168" s="27" t="s">
        <v>14</v>
      </c>
      <c r="C168" s="27" t="s">
        <v>13</v>
      </c>
      <c r="D168" s="27" t="s">
        <v>154</v>
      </c>
      <c r="E168" s="27" t="s">
        <v>21</v>
      </c>
      <c r="F168" s="27" t="s">
        <v>506</v>
      </c>
      <c r="G168" s="27" t="s">
        <v>511</v>
      </c>
      <c r="H168" s="27" t="s">
        <v>513</v>
      </c>
      <c r="I168" s="27" t="s">
        <v>517</v>
      </c>
      <c r="J168" s="27" t="s">
        <v>523</v>
      </c>
      <c r="K168" s="27" t="s">
        <v>529</v>
      </c>
      <c r="L168" s="27" t="s">
        <v>539</v>
      </c>
      <c r="M168" s="30">
        <v>42387</v>
      </c>
      <c r="N168" s="30">
        <v>42395</v>
      </c>
      <c r="O168" s="30">
        <v>42416</v>
      </c>
      <c r="P168" s="27" t="s">
        <v>113</v>
      </c>
      <c r="Q168" s="32">
        <v>1</v>
      </c>
      <c r="R168" s="32">
        <v>29.398912037037</v>
      </c>
      <c r="S168" s="32">
        <v>61.342557870370399</v>
      </c>
      <c r="T168" s="32">
        <v>1</v>
      </c>
      <c r="U168" s="32">
        <v>1</v>
      </c>
      <c r="V168" s="32">
        <v>29.397465277777801</v>
      </c>
      <c r="W168" s="32">
        <v>56</v>
      </c>
      <c r="X168" s="32">
        <v>9</v>
      </c>
      <c r="Y168" s="32">
        <v>5</v>
      </c>
      <c r="Z168" s="32">
        <v>4</v>
      </c>
      <c r="AA168" s="32">
        <v>1</v>
      </c>
      <c r="AC168" s="29"/>
    </row>
    <row r="169" spans="1:29" x14ac:dyDescent="0.25">
      <c r="A169" s="28" t="s">
        <v>379</v>
      </c>
      <c r="B169" s="28" t="s">
        <v>14</v>
      </c>
      <c r="C169" s="28" t="s">
        <v>13</v>
      </c>
      <c r="D169" s="28" t="s">
        <v>154</v>
      </c>
      <c r="E169" s="28" t="s">
        <v>21</v>
      </c>
      <c r="F169" s="28" t="s">
        <v>506</v>
      </c>
      <c r="G169" s="28" t="s">
        <v>511</v>
      </c>
      <c r="H169" s="28" t="s">
        <v>513</v>
      </c>
      <c r="I169" s="28" t="s">
        <v>516</v>
      </c>
      <c r="J169" s="28" t="s">
        <v>516</v>
      </c>
      <c r="K169" s="28" t="s">
        <v>529</v>
      </c>
      <c r="L169" s="28" t="s">
        <v>539</v>
      </c>
      <c r="M169" s="31">
        <v>42391</v>
      </c>
      <c r="N169" s="31"/>
      <c r="O169" s="31"/>
      <c r="P169" s="28" t="s">
        <v>101</v>
      </c>
      <c r="Q169" s="33">
        <v>1</v>
      </c>
      <c r="R169" s="33">
        <v>4.3799305555555597</v>
      </c>
      <c r="S169" s="33">
        <v>57.245925925925903</v>
      </c>
      <c r="T169" s="33">
        <v>0</v>
      </c>
      <c r="U169" s="33">
        <v>1</v>
      </c>
      <c r="V169" s="33">
        <v>4.3796759259259304</v>
      </c>
      <c r="W169" s="33">
        <v>56</v>
      </c>
      <c r="X169" s="33">
        <v>6</v>
      </c>
      <c r="Y169" s="33">
        <v>6</v>
      </c>
      <c r="Z169" s="33">
        <v>0</v>
      </c>
      <c r="AA169" s="33">
        <v>1</v>
      </c>
      <c r="AC169" s="29"/>
    </row>
    <row r="170" spans="1:29" x14ac:dyDescent="0.25">
      <c r="A170" s="27" t="s">
        <v>380</v>
      </c>
      <c r="B170" s="27" t="s">
        <v>14</v>
      </c>
      <c r="C170" s="27" t="s">
        <v>13</v>
      </c>
      <c r="D170" s="27" t="s">
        <v>154</v>
      </c>
      <c r="E170" s="27" t="s">
        <v>21</v>
      </c>
      <c r="F170" s="27" t="s">
        <v>506</v>
      </c>
      <c r="G170" s="27" t="s">
        <v>511</v>
      </c>
      <c r="H170" s="27" t="s">
        <v>513</v>
      </c>
      <c r="I170" s="27" t="s">
        <v>516</v>
      </c>
      <c r="J170" s="27" t="s">
        <v>516</v>
      </c>
      <c r="K170" s="27" t="s">
        <v>529</v>
      </c>
      <c r="L170" s="27" t="s">
        <v>539</v>
      </c>
      <c r="M170" s="30">
        <v>42391</v>
      </c>
      <c r="N170" s="30"/>
      <c r="O170" s="30"/>
      <c r="P170" s="27" t="s">
        <v>100</v>
      </c>
      <c r="Q170" s="32">
        <v>1</v>
      </c>
      <c r="R170" s="32">
        <v>4.3655671296296301</v>
      </c>
      <c r="S170" s="32">
        <v>4.3655671296296301</v>
      </c>
      <c r="T170" s="32">
        <v>0</v>
      </c>
      <c r="U170" s="32">
        <v>1</v>
      </c>
      <c r="V170" s="32">
        <v>4.3643981481481502</v>
      </c>
      <c r="W170" s="32">
        <v>56</v>
      </c>
      <c r="X170" s="32">
        <v>3</v>
      </c>
      <c r="Y170" s="32">
        <v>3</v>
      </c>
      <c r="Z170" s="32">
        <v>0</v>
      </c>
      <c r="AA170" s="32">
        <v>1</v>
      </c>
      <c r="AC170" s="29"/>
    </row>
    <row r="171" spans="1:29" x14ac:dyDescent="0.25">
      <c r="A171" s="28" t="s">
        <v>381</v>
      </c>
      <c r="B171" s="28" t="s">
        <v>14</v>
      </c>
      <c r="C171" s="28" t="s">
        <v>13</v>
      </c>
      <c r="D171" s="28" t="s">
        <v>154</v>
      </c>
      <c r="E171" s="28" t="s">
        <v>21</v>
      </c>
      <c r="F171" s="28" t="s">
        <v>506</v>
      </c>
      <c r="G171" s="28" t="s">
        <v>511</v>
      </c>
      <c r="H171" s="28" t="s">
        <v>513</v>
      </c>
      <c r="I171" s="28" t="s">
        <v>516</v>
      </c>
      <c r="J171" s="28" t="s">
        <v>516</v>
      </c>
      <c r="K171" s="28" t="s">
        <v>529</v>
      </c>
      <c r="L171" s="28" t="s">
        <v>539</v>
      </c>
      <c r="M171" s="31">
        <v>42394</v>
      </c>
      <c r="N171" s="31"/>
      <c r="O171" s="31"/>
      <c r="P171" s="28" t="s">
        <v>102</v>
      </c>
      <c r="Q171" s="33">
        <v>1</v>
      </c>
      <c r="R171" s="33">
        <v>1.42928240740741</v>
      </c>
      <c r="S171" s="33">
        <v>59.242326388888898</v>
      </c>
      <c r="T171" s="33">
        <v>0</v>
      </c>
      <c r="U171" s="33">
        <v>1</v>
      </c>
      <c r="V171" s="33">
        <v>1.4282638888888901</v>
      </c>
      <c r="W171" s="33">
        <v>56</v>
      </c>
      <c r="X171" s="33">
        <v>6.5</v>
      </c>
      <c r="Y171" s="33">
        <v>6.5</v>
      </c>
      <c r="Z171" s="33">
        <v>0</v>
      </c>
      <c r="AA171" s="33">
        <v>1</v>
      </c>
      <c r="AC171" s="29"/>
    </row>
    <row r="172" spans="1:29" x14ac:dyDescent="0.25">
      <c r="A172" s="27" t="s">
        <v>382</v>
      </c>
      <c r="B172" s="27" t="s">
        <v>14</v>
      </c>
      <c r="C172" s="27" t="s">
        <v>16</v>
      </c>
      <c r="D172" s="27" t="s">
        <v>154</v>
      </c>
      <c r="E172" s="27" t="s">
        <v>21</v>
      </c>
      <c r="F172" s="27" t="s">
        <v>505</v>
      </c>
      <c r="G172" s="27" t="s">
        <v>512</v>
      </c>
      <c r="H172" s="27" t="s">
        <v>513</v>
      </c>
      <c r="I172" s="27" t="s">
        <v>516</v>
      </c>
      <c r="J172" s="27" t="s">
        <v>516</v>
      </c>
      <c r="K172" s="27" t="s">
        <v>529</v>
      </c>
      <c r="L172" s="27" t="s">
        <v>539</v>
      </c>
      <c r="M172" s="30">
        <v>42394</v>
      </c>
      <c r="N172" s="30"/>
      <c r="O172" s="30"/>
      <c r="P172" s="27" t="s">
        <v>102</v>
      </c>
      <c r="Q172" s="32">
        <v>1</v>
      </c>
      <c r="R172" s="32">
        <v>2.1682523148148101</v>
      </c>
      <c r="S172" s="32">
        <v>2.1682523148148101</v>
      </c>
      <c r="T172" s="32">
        <v>0</v>
      </c>
      <c r="U172" s="32">
        <v>1</v>
      </c>
      <c r="V172" s="32">
        <v>2.1662152777777801</v>
      </c>
      <c r="W172" s="32">
        <v>28</v>
      </c>
      <c r="X172" s="32">
        <v>2</v>
      </c>
      <c r="Y172" s="32">
        <v>2</v>
      </c>
      <c r="Z172" s="32">
        <v>0</v>
      </c>
      <c r="AA172" s="32">
        <v>1</v>
      </c>
      <c r="AC172" s="29"/>
    </row>
    <row r="173" spans="1:29" x14ac:dyDescent="0.25">
      <c r="A173" s="28" t="s">
        <v>383</v>
      </c>
      <c r="B173" s="28" t="s">
        <v>14</v>
      </c>
      <c r="C173" s="28" t="s">
        <v>13</v>
      </c>
      <c r="D173" s="28" t="s">
        <v>154</v>
      </c>
      <c r="E173" s="28" t="s">
        <v>21</v>
      </c>
      <c r="F173" s="28" t="s">
        <v>505</v>
      </c>
      <c r="G173" s="28" t="s">
        <v>512</v>
      </c>
      <c r="H173" s="28" t="s">
        <v>513</v>
      </c>
      <c r="I173" s="28" t="s">
        <v>516</v>
      </c>
      <c r="J173" s="28" t="s">
        <v>516</v>
      </c>
      <c r="K173" s="28" t="s">
        <v>529</v>
      </c>
      <c r="L173" s="28" t="s">
        <v>539</v>
      </c>
      <c r="M173" s="31">
        <v>42396</v>
      </c>
      <c r="N173" s="31"/>
      <c r="O173" s="31"/>
      <c r="P173" s="28" t="s">
        <v>102</v>
      </c>
      <c r="Q173" s="33">
        <v>1</v>
      </c>
      <c r="R173" s="33">
        <v>1.3092939814814799</v>
      </c>
      <c r="S173" s="33">
        <v>1.3092939814814799</v>
      </c>
      <c r="T173" s="33">
        <v>0</v>
      </c>
      <c r="U173" s="33">
        <v>1</v>
      </c>
      <c r="V173" s="33">
        <v>1.3076157407407401</v>
      </c>
      <c r="W173" s="33">
        <v>56</v>
      </c>
      <c r="X173" s="33">
        <v>4.5</v>
      </c>
      <c r="Y173" s="33">
        <v>4.5</v>
      </c>
      <c r="Z173" s="33">
        <v>0</v>
      </c>
      <c r="AA173" s="33">
        <v>1</v>
      </c>
      <c r="AC173" s="29"/>
    </row>
    <row r="174" spans="1:29" x14ac:dyDescent="0.25">
      <c r="A174" s="27" t="s">
        <v>384</v>
      </c>
      <c r="B174" s="27" t="s">
        <v>14</v>
      </c>
      <c r="C174" s="27" t="s">
        <v>15</v>
      </c>
      <c r="D174" s="27" t="s">
        <v>75</v>
      </c>
      <c r="E174" s="27" t="s">
        <v>28</v>
      </c>
      <c r="F174" s="27" t="s">
        <v>506</v>
      </c>
      <c r="G174" s="27" t="s">
        <v>510</v>
      </c>
      <c r="H174" s="27" t="s">
        <v>513</v>
      </c>
      <c r="I174" s="27" t="s">
        <v>517</v>
      </c>
      <c r="J174" s="27" t="s">
        <v>523</v>
      </c>
      <c r="K174" s="27" t="s">
        <v>529</v>
      </c>
      <c r="L174" s="27" t="s">
        <v>539</v>
      </c>
      <c r="M174" s="30">
        <v>42402</v>
      </c>
      <c r="N174" s="30">
        <v>42403</v>
      </c>
      <c r="O174" s="30">
        <v>42438</v>
      </c>
      <c r="P174" s="27" t="s">
        <v>104</v>
      </c>
      <c r="Q174" s="32">
        <v>1</v>
      </c>
      <c r="R174" s="32">
        <v>24.876006944444399</v>
      </c>
      <c r="S174" s="32">
        <v>45.055532407407398</v>
      </c>
      <c r="T174" s="32">
        <v>1</v>
      </c>
      <c r="U174" s="32">
        <v>1</v>
      </c>
      <c r="V174" s="32">
        <v>24.875567129629601</v>
      </c>
      <c r="W174" s="32">
        <v>30</v>
      </c>
      <c r="X174" s="32">
        <v>4</v>
      </c>
      <c r="Y174" s="32">
        <v>4</v>
      </c>
      <c r="Z174" s="32">
        <v>0</v>
      </c>
      <c r="AA174" s="32">
        <v>1</v>
      </c>
      <c r="AC174" s="29"/>
    </row>
    <row r="175" spans="1:29" x14ac:dyDescent="0.25">
      <c r="A175" s="28" t="s">
        <v>385</v>
      </c>
      <c r="B175" s="28" t="s">
        <v>14</v>
      </c>
      <c r="C175" s="28" t="s">
        <v>15</v>
      </c>
      <c r="D175" s="28" t="s">
        <v>75</v>
      </c>
      <c r="E175" s="28" t="s">
        <v>28</v>
      </c>
      <c r="F175" s="28" t="s">
        <v>506</v>
      </c>
      <c r="G175" s="28" t="s">
        <v>510</v>
      </c>
      <c r="H175" s="28" t="s">
        <v>513</v>
      </c>
      <c r="I175" s="28" t="s">
        <v>517</v>
      </c>
      <c r="J175" s="28" t="s">
        <v>523</v>
      </c>
      <c r="K175" s="28" t="s">
        <v>529</v>
      </c>
      <c r="L175" s="28" t="s">
        <v>539</v>
      </c>
      <c r="M175" s="31">
        <v>42402</v>
      </c>
      <c r="N175" s="31">
        <v>42403</v>
      </c>
      <c r="O175" s="31">
        <v>42438</v>
      </c>
      <c r="P175" s="28" t="s">
        <v>111</v>
      </c>
      <c r="Q175" s="33">
        <v>1</v>
      </c>
      <c r="R175" s="33">
        <v>24.879039351851901</v>
      </c>
      <c r="S175" s="33">
        <v>45.055046296296297</v>
      </c>
      <c r="T175" s="33">
        <v>1</v>
      </c>
      <c r="U175" s="33">
        <v>1</v>
      </c>
      <c r="V175" s="33">
        <v>24.878599537037001</v>
      </c>
      <c r="W175" s="33">
        <v>30</v>
      </c>
      <c r="X175" s="33">
        <v>6</v>
      </c>
      <c r="Y175" s="33">
        <v>4</v>
      </c>
      <c r="Z175" s="33">
        <v>2</v>
      </c>
      <c r="AA175" s="33">
        <v>1</v>
      </c>
      <c r="AC175" s="29"/>
    </row>
    <row r="176" spans="1:29" x14ac:dyDescent="0.25">
      <c r="A176" s="27" t="s">
        <v>386</v>
      </c>
      <c r="B176" s="27" t="s">
        <v>14</v>
      </c>
      <c r="C176" s="27" t="s">
        <v>13</v>
      </c>
      <c r="D176" s="27" t="s">
        <v>154</v>
      </c>
      <c r="E176" s="27" t="s">
        <v>21</v>
      </c>
      <c r="F176" s="27" t="s">
        <v>505</v>
      </c>
      <c r="G176" s="27" t="s">
        <v>512</v>
      </c>
      <c r="H176" s="27" t="s">
        <v>513</v>
      </c>
      <c r="I176" s="27" t="s">
        <v>516</v>
      </c>
      <c r="J176" s="27" t="s">
        <v>516</v>
      </c>
      <c r="K176" s="27" t="s">
        <v>529</v>
      </c>
      <c r="L176" s="27" t="s">
        <v>539</v>
      </c>
      <c r="M176" s="30">
        <v>42408</v>
      </c>
      <c r="N176" s="30"/>
      <c r="O176" s="30"/>
      <c r="P176" s="27" t="s">
        <v>105</v>
      </c>
      <c r="Q176" s="32">
        <v>1</v>
      </c>
      <c r="R176" s="32">
        <v>7.9299074074074101</v>
      </c>
      <c r="S176" s="32">
        <v>7.9638657407407401</v>
      </c>
      <c r="T176" s="32">
        <v>0</v>
      </c>
      <c r="U176" s="32">
        <v>1</v>
      </c>
      <c r="V176" s="32">
        <v>7.9297106481481503</v>
      </c>
      <c r="W176" s="32">
        <v>56</v>
      </c>
      <c r="X176" s="32">
        <v>8.5</v>
      </c>
      <c r="Y176" s="32">
        <v>8.5</v>
      </c>
      <c r="Z176" s="32">
        <v>0</v>
      </c>
      <c r="AA176" s="32">
        <v>1</v>
      </c>
      <c r="AC176" s="29"/>
    </row>
    <row r="177" spans="1:29" x14ac:dyDescent="0.25">
      <c r="A177" s="28" t="s">
        <v>387</v>
      </c>
      <c r="B177" s="28" t="s">
        <v>14</v>
      </c>
      <c r="C177" s="28" t="s">
        <v>13</v>
      </c>
      <c r="D177" s="28" t="s">
        <v>154</v>
      </c>
      <c r="E177" s="28" t="s">
        <v>21</v>
      </c>
      <c r="F177" s="28" t="s">
        <v>505</v>
      </c>
      <c r="G177" s="28" t="s">
        <v>512</v>
      </c>
      <c r="H177" s="28" t="s">
        <v>513</v>
      </c>
      <c r="I177" s="28" t="s">
        <v>516</v>
      </c>
      <c r="J177" s="28" t="s">
        <v>516</v>
      </c>
      <c r="K177" s="28" t="s">
        <v>529</v>
      </c>
      <c r="L177" s="28" t="s">
        <v>539</v>
      </c>
      <c r="M177" s="31">
        <v>42409</v>
      </c>
      <c r="N177" s="31"/>
      <c r="O177" s="31"/>
      <c r="P177" s="28" t="s">
        <v>105</v>
      </c>
      <c r="Q177" s="33">
        <v>1</v>
      </c>
      <c r="R177" s="33">
        <v>7.9106249999999996</v>
      </c>
      <c r="S177" s="33">
        <v>7.9415624999999999</v>
      </c>
      <c r="T177" s="33">
        <v>0</v>
      </c>
      <c r="U177" s="33">
        <v>1</v>
      </c>
      <c r="V177" s="33">
        <v>7.9101620370370398</v>
      </c>
      <c r="W177" s="33">
        <v>56</v>
      </c>
      <c r="X177" s="33">
        <v>4.5</v>
      </c>
      <c r="Y177" s="33">
        <v>4.5</v>
      </c>
      <c r="Z177" s="33">
        <v>0</v>
      </c>
      <c r="AA177" s="33">
        <v>1</v>
      </c>
      <c r="AC177" s="29"/>
    </row>
    <row r="178" spans="1:29" x14ac:dyDescent="0.25">
      <c r="A178" s="27" t="s">
        <v>388</v>
      </c>
      <c r="B178" s="27" t="s">
        <v>14</v>
      </c>
      <c r="C178" s="27" t="s">
        <v>13</v>
      </c>
      <c r="D178" s="27" t="s">
        <v>154</v>
      </c>
      <c r="E178" s="27" t="s">
        <v>21</v>
      </c>
      <c r="F178" s="27" t="s">
        <v>506</v>
      </c>
      <c r="G178" s="27" t="s">
        <v>511</v>
      </c>
      <c r="H178" s="27" t="s">
        <v>513</v>
      </c>
      <c r="I178" s="27" t="s">
        <v>516</v>
      </c>
      <c r="J178" s="27" t="s">
        <v>516</v>
      </c>
      <c r="K178" s="27" t="s">
        <v>529</v>
      </c>
      <c r="L178" s="27" t="s">
        <v>539</v>
      </c>
      <c r="M178" s="30">
        <v>42409</v>
      </c>
      <c r="N178" s="30"/>
      <c r="O178" s="30"/>
      <c r="P178" s="27" t="s">
        <v>104</v>
      </c>
      <c r="Q178" s="32">
        <v>1</v>
      </c>
      <c r="R178" s="32">
        <v>8.5221527777777801</v>
      </c>
      <c r="S178" s="32">
        <v>14.605162037036999</v>
      </c>
      <c r="T178" s="32">
        <v>0</v>
      </c>
      <c r="U178" s="32">
        <v>1</v>
      </c>
      <c r="V178" s="32">
        <v>8.5218055555555594</v>
      </c>
      <c r="W178" s="32">
        <v>56</v>
      </c>
      <c r="X178" s="32">
        <v>1</v>
      </c>
      <c r="Y178" s="32">
        <v>1</v>
      </c>
      <c r="Z178" s="32">
        <v>0</v>
      </c>
      <c r="AA178" s="32">
        <v>1</v>
      </c>
      <c r="AC178" s="29"/>
    </row>
    <row r="179" spans="1:29" x14ac:dyDescent="0.25">
      <c r="A179" s="28" t="s">
        <v>389</v>
      </c>
      <c r="B179" s="28" t="s">
        <v>14</v>
      </c>
      <c r="C179" s="28" t="s">
        <v>13</v>
      </c>
      <c r="D179" s="28" t="s">
        <v>154</v>
      </c>
      <c r="E179" s="28" t="s">
        <v>21</v>
      </c>
      <c r="F179" s="28" t="s">
        <v>506</v>
      </c>
      <c r="G179" s="28" t="s">
        <v>511</v>
      </c>
      <c r="H179" s="28" t="s">
        <v>513</v>
      </c>
      <c r="I179" s="28" t="s">
        <v>516</v>
      </c>
      <c r="J179" s="28" t="s">
        <v>516</v>
      </c>
      <c r="K179" s="28" t="s">
        <v>529</v>
      </c>
      <c r="L179" s="28" t="s">
        <v>539</v>
      </c>
      <c r="M179" s="31">
        <v>42411</v>
      </c>
      <c r="N179" s="31"/>
      <c r="O179" s="31"/>
      <c r="P179" s="28" t="s">
        <v>102</v>
      </c>
      <c r="Q179" s="33">
        <v>1</v>
      </c>
      <c r="R179" s="33">
        <v>15.825416666666699</v>
      </c>
      <c r="S179" s="33">
        <v>42.948298611111099</v>
      </c>
      <c r="T179" s="33">
        <v>0</v>
      </c>
      <c r="U179" s="33">
        <v>1</v>
      </c>
      <c r="V179" s="33">
        <v>15.8240277777778</v>
      </c>
      <c r="W179" s="33">
        <v>56</v>
      </c>
      <c r="X179" s="33">
        <v>9.5</v>
      </c>
      <c r="Y179" s="33">
        <v>9.5</v>
      </c>
      <c r="Z179" s="33">
        <v>0</v>
      </c>
      <c r="AA179" s="33">
        <v>1</v>
      </c>
      <c r="AC179" s="29"/>
    </row>
    <row r="180" spans="1:29" x14ac:dyDescent="0.25">
      <c r="A180" s="27" t="s">
        <v>390</v>
      </c>
      <c r="B180" s="27" t="s">
        <v>14</v>
      </c>
      <c r="C180" s="27" t="s">
        <v>13</v>
      </c>
      <c r="D180" s="27" t="s">
        <v>154</v>
      </c>
      <c r="E180" s="27" t="s">
        <v>21</v>
      </c>
      <c r="F180" s="27" t="s">
        <v>506</v>
      </c>
      <c r="G180" s="27" t="s">
        <v>511</v>
      </c>
      <c r="H180" s="27" t="s">
        <v>513</v>
      </c>
      <c r="I180" s="27" t="s">
        <v>516</v>
      </c>
      <c r="J180" s="27" t="s">
        <v>516</v>
      </c>
      <c r="K180" s="27" t="s">
        <v>529</v>
      </c>
      <c r="L180" s="27" t="s">
        <v>539</v>
      </c>
      <c r="M180" s="30">
        <v>42411</v>
      </c>
      <c r="N180" s="30"/>
      <c r="O180" s="30"/>
      <c r="P180" s="27" t="s">
        <v>102</v>
      </c>
      <c r="Q180" s="32">
        <v>1</v>
      </c>
      <c r="R180" s="32">
        <v>15.8256944444444</v>
      </c>
      <c r="S180" s="32">
        <v>42.9315046296296</v>
      </c>
      <c r="T180" s="32">
        <v>0</v>
      </c>
      <c r="U180" s="32">
        <v>1</v>
      </c>
      <c r="V180" s="32">
        <v>15.8130555555556</v>
      </c>
      <c r="W180" s="32">
        <v>56</v>
      </c>
      <c r="X180" s="32">
        <v>9.5</v>
      </c>
      <c r="Y180" s="32">
        <v>9.5</v>
      </c>
      <c r="Z180" s="32">
        <v>0</v>
      </c>
      <c r="AA180" s="32">
        <v>1</v>
      </c>
      <c r="AC180" s="29"/>
    </row>
    <row r="181" spans="1:29" x14ac:dyDescent="0.25">
      <c r="A181" s="28" t="s">
        <v>391</v>
      </c>
      <c r="B181" s="28" t="s">
        <v>14</v>
      </c>
      <c r="C181" s="28" t="s">
        <v>13</v>
      </c>
      <c r="D181" s="28" t="s">
        <v>154</v>
      </c>
      <c r="E181" s="28" t="s">
        <v>21</v>
      </c>
      <c r="F181" s="28" t="s">
        <v>505</v>
      </c>
      <c r="G181" s="28" t="s">
        <v>512</v>
      </c>
      <c r="H181" s="28" t="s">
        <v>513</v>
      </c>
      <c r="I181" s="28" t="s">
        <v>516</v>
      </c>
      <c r="J181" s="28" t="s">
        <v>516</v>
      </c>
      <c r="K181" s="28" t="s">
        <v>529</v>
      </c>
      <c r="L181" s="28" t="s">
        <v>539</v>
      </c>
      <c r="M181" s="31">
        <v>42411</v>
      </c>
      <c r="N181" s="31"/>
      <c r="O181" s="31"/>
      <c r="P181" s="28" t="s">
        <v>102</v>
      </c>
      <c r="Q181" s="33">
        <v>1</v>
      </c>
      <c r="R181" s="33">
        <v>15.802465277777801</v>
      </c>
      <c r="S181" s="33">
        <v>42.904722222222198</v>
      </c>
      <c r="T181" s="33">
        <v>0</v>
      </c>
      <c r="U181" s="33">
        <v>1</v>
      </c>
      <c r="V181" s="33">
        <v>15.798032407407399</v>
      </c>
      <c r="W181" s="33">
        <v>56</v>
      </c>
      <c r="X181" s="33">
        <v>11.5</v>
      </c>
      <c r="Y181" s="33">
        <v>11.5</v>
      </c>
      <c r="Z181" s="33">
        <v>0</v>
      </c>
      <c r="AA181" s="33">
        <v>1</v>
      </c>
      <c r="AC181" s="29"/>
    </row>
    <row r="182" spans="1:29" x14ac:dyDescent="0.25">
      <c r="A182" s="27" t="s">
        <v>392</v>
      </c>
      <c r="B182" s="27" t="s">
        <v>14</v>
      </c>
      <c r="C182" s="27" t="s">
        <v>13</v>
      </c>
      <c r="D182" s="27" t="s">
        <v>154</v>
      </c>
      <c r="E182" s="27" t="s">
        <v>21</v>
      </c>
      <c r="F182" s="27" t="s">
        <v>505</v>
      </c>
      <c r="G182" s="27" t="s">
        <v>512</v>
      </c>
      <c r="H182" s="27" t="s">
        <v>513</v>
      </c>
      <c r="I182" s="27" t="s">
        <v>516</v>
      </c>
      <c r="J182" s="27" t="s">
        <v>516</v>
      </c>
      <c r="K182" s="27" t="s">
        <v>529</v>
      </c>
      <c r="L182" s="27" t="s">
        <v>539</v>
      </c>
      <c r="M182" s="30">
        <v>42411</v>
      </c>
      <c r="N182" s="30"/>
      <c r="O182" s="30"/>
      <c r="P182" s="27" t="s">
        <v>102</v>
      </c>
      <c r="Q182" s="32">
        <v>1</v>
      </c>
      <c r="R182" s="32">
        <v>15.797638888888899</v>
      </c>
      <c r="S182" s="32">
        <v>42.894004629629599</v>
      </c>
      <c r="T182" s="32">
        <v>0</v>
      </c>
      <c r="U182" s="32">
        <v>1</v>
      </c>
      <c r="V182" s="32">
        <v>15.792210648148201</v>
      </c>
      <c r="W182" s="32">
        <v>56</v>
      </c>
      <c r="X182" s="32">
        <v>12.5</v>
      </c>
      <c r="Y182" s="32">
        <v>12.5</v>
      </c>
      <c r="Z182" s="32">
        <v>0</v>
      </c>
      <c r="AA182" s="32">
        <v>1</v>
      </c>
      <c r="AC182" s="29"/>
    </row>
    <row r="183" spans="1:29" x14ac:dyDescent="0.25">
      <c r="A183" s="28" t="s">
        <v>393</v>
      </c>
      <c r="B183" s="28" t="s">
        <v>14</v>
      </c>
      <c r="C183" s="28" t="s">
        <v>15</v>
      </c>
      <c r="D183" s="28" t="s">
        <v>154</v>
      </c>
      <c r="E183" s="28" t="s">
        <v>21</v>
      </c>
      <c r="F183" s="28" t="s">
        <v>505</v>
      </c>
      <c r="G183" s="28" t="s">
        <v>512</v>
      </c>
      <c r="H183" s="28" t="s">
        <v>513</v>
      </c>
      <c r="I183" s="28" t="s">
        <v>517</v>
      </c>
      <c r="J183" s="28" t="s">
        <v>523</v>
      </c>
      <c r="K183" s="28" t="s">
        <v>529</v>
      </c>
      <c r="L183" s="28" t="s">
        <v>539</v>
      </c>
      <c r="M183" s="31">
        <v>42411</v>
      </c>
      <c r="N183" s="31">
        <v>42411</v>
      </c>
      <c r="O183" s="31">
        <v>42444</v>
      </c>
      <c r="P183" s="28" t="s">
        <v>102</v>
      </c>
      <c r="Q183" s="33">
        <v>1</v>
      </c>
      <c r="R183" s="33">
        <v>32.834421296296298</v>
      </c>
      <c r="S183" s="33">
        <v>32.835891203703703</v>
      </c>
      <c r="T183" s="33">
        <v>1</v>
      </c>
      <c r="U183" s="33">
        <v>1</v>
      </c>
      <c r="V183" s="33">
        <v>32.834143518518502</v>
      </c>
      <c r="W183" s="33">
        <v>140</v>
      </c>
      <c r="X183" s="33">
        <v>10.5</v>
      </c>
      <c r="Y183" s="33">
        <v>9.5</v>
      </c>
      <c r="Z183" s="33">
        <v>1</v>
      </c>
      <c r="AA183" s="33">
        <v>1</v>
      </c>
      <c r="AC183" s="29"/>
    </row>
    <row r="184" spans="1:29" x14ac:dyDescent="0.25">
      <c r="A184" s="27" t="s">
        <v>394</v>
      </c>
      <c r="B184" s="27" t="s">
        <v>14</v>
      </c>
      <c r="C184" s="27" t="s">
        <v>13</v>
      </c>
      <c r="D184" s="27" t="s">
        <v>154</v>
      </c>
      <c r="E184" s="27" t="s">
        <v>21</v>
      </c>
      <c r="F184" s="27" t="s">
        <v>506</v>
      </c>
      <c r="G184" s="27" t="s">
        <v>511</v>
      </c>
      <c r="H184" s="27" t="s">
        <v>513</v>
      </c>
      <c r="I184" s="27" t="s">
        <v>516</v>
      </c>
      <c r="J184" s="27" t="s">
        <v>516</v>
      </c>
      <c r="K184" s="27" t="s">
        <v>529</v>
      </c>
      <c r="L184" s="27" t="s">
        <v>539</v>
      </c>
      <c r="M184" s="30">
        <v>42412</v>
      </c>
      <c r="N184" s="30"/>
      <c r="O184" s="30"/>
      <c r="P184" s="27" t="s">
        <v>105</v>
      </c>
      <c r="Q184" s="32">
        <v>1</v>
      </c>
      <c r="R184" s="32">
        <v>27.227465277777799</v>
      </c>
      <c r="S184" s="32">
        <v>47.980023148148199</v>
      </c>
      <c r="T184" s="32">
        <v>0</v>
      </c>
      <c r="U184" s="32">
        <v>1</v>
      </c>
      <c r="V184" s="32">
        <v>27.225960648148099</v>
      </c>
      <c r="W184" s="32">
        <v>56</v>
      </c>
      <c r="X184" s="32">
        <v>19.5</v>
      </c>
      <c r="Y184" s="32">
        <v>19.5</v>
      </c>
      <c r="Z184" s="32">
        <v>0</v>
      </c>
      <c r="AA184" s="32">
        <v>1</v>
      </c>
      <c r="AC184" s="29"/>
    </row>
    <row r="185" spans="1:29" x14ac:dyDescent="0.25">
      <c r="A185" s="28" t="s">
        <v>395</v>
      </c>
      <c r="B185" s="28" t="s">
        <v>14</v>
      </c>
      <c r="C185" s="28" t="s">
        <v>13</v>
      </c>
      <c r="D185" s="28" t="s">
        <v>154</v>
      </c>
      <c r="E185" s="28" t="s">
        <v>21</v>
      </c>
      <c r="F185" s="28" t="s">
        <v>505</v>
      </c>
      <c r="G185" s="28" t="s">
        <v>512</v>
      </c>
      <c r="H185" s="28" t="s">
        <v>513</v>
      </c>
      <c r="I185" s="28" t="s">
        <v>516</v>
      </c>
      <c r="J185" s="28" t="s">
        <v>516</v>
      </c>
      <c r="K185" s="28" t="s">
        <v>529</v>
      </c>
      <c r="L185" s="28" t="s">
        <v>539</v>
      </c>
      <c r="M185" s="31">
        <v>42412</v>
      </c>
      <c r="N185" s="31"/>
      <c r="O185" s="31"/>
      <c r="P185" s="28" t="s">
        <v>101</v>
      </c>
      <c r="Q185" s="33">
        <v>1</v>
      </c>
      <c r="R185" s="33">
        <v>11.9581365740741</v>
      </c>
      <c r="S185" s="33">
        <v>11.9584490740741</v>
      </c>
      <c r="T185" s="33">
        <v>0</v>
      </c>
      <c r="U185" s="33">
        <v>1</v>
      </c>
      <c r="V185" s="33">
        <v>11.9567708333333</v>
      </c>
      <c r="W185" s="33">
        <v>56</v>
      </c>
      <c r="X185" s="33">
        <v>8.5</v>
      </c>
      <c r="Y185" s="33">
        <v>8.5</v>
      </c>
      <c r="Z185" s="33">
        <v>0</v>
      </c>
      <c r="AA185" s="33">
        <v>1</v>
      </c>
      <c r="AC185" s="29"/>
    </row>
    <row r="186" spans="1:29" x14ac:dyDescent="0.25">
      <c r="A186" s="27" t="s">
        <v>396</v>
      </c>
      <c r="B186" s="27" t="s">
        <v>14</v>
      </c>
      <c r="C186" s="27" t="s">
        <v>13</v>
      </c>
      <c r="D186" s="27" t="s">
        <v>154</v>
      </c>
      <c r="E186" s="27" t="s">
        <v>21</v>
      </c>
      <c r="F186" s="27" t="s">
        <v>505</v>
      </c>
      <c r="G186" s="27" t="s">
        <v>512</v>
      </c>
      <c r="H186" s="27" t="s">
        <v>513</v>
      </c>
      <c r="I186" s="27" t="s">
        <v>516</v>
      </c>
      <c r="J186" s="27" t="s">
        <v>516</v>
      </c>
      <c r="K186" s="27" t="s">
        <v>529</v>
      </c>
      <c r="L186" s="27" t="s">
        <v>539</v>
      </c>
      <c r="M186" s="30">
        <v>42415</v>
      </c>
      <c r="N186" s="30"/>
      <c r="O186" s="30"/>
      <c r="P186" s="27" t="s">
        <v>99</v>
      </c>
      <c r="Q186" s="32">
        <v>1</v>
      </c>
      <c r="R186" s="32">
        <v>2.2027199074074102</v>
      </c>
      <c r="S186" s="32">
        <v>2.2028819444444401</v>
      </c>
      <c r="T186" s="32">
        <v>0</v>
      </c>
      <c r="U186" s="32">
        <v>1</v>
      </c>
      <c r="V186" s="32">
        <v>2.20174768518519</v>
      </c>
      <c r="W186" s="32">
        <v>56</v>
      </c>
      <c r="X186" s="32">
        <v>2</v>
      </c>
      <c r="Y186" s="32">
        <v>2</v>
      </c>
      <c r="Z186" s="32">
        <v>0</v>
      </c>
      <c r="AA186" s="32">
        <v>1</v>
      </c>
      <c r="AC186" s="29"/>
    </row>
    <row r="187" spans="1:29" x14ac:dyDescent="0.25">
      <c r="A187" s="28" t="s">
        <v>397</v>
      </c>
      <c r="B187" s="28" t="s">
        <v>14</v>
      </c>
      <c r="C187" s="28" t="s">
        <v>13</v>
      </c>
      <c r="D187" s="28" t="s">
        <v>154</v>
      </c>
      <c r="E187" s="28" t="s">
        <v>21</v>
      </c>
      <c r="F187" s="28" t="s">
        <v>505</v>
      </c>
      <c r="G187" s="28" t="s">
        <v>512</v>
      </c>
      <c r="H187" s="28" t="s">
        <v>513</v>
      </c>
      <c r="I187" s="28" t="s">
        <v>516</v>
      </c>
      <c r="J187" s="28" t="s">
        <v>516</v>
      </c>
      <c r="K187" s="28" t="s">
        <v>529</v>
      </c>
      <c r="L187" s="28" t="s">
        <v>539</v>
      </c>
      <c r="M187" s="31">
        <v>42415</v>
      </c>
      <c r="N187" s="31"/>
      <c r="O187" s="31"/>
      <c r="P187" s="28" t="s">
        <v>99</v>
      </c>
      <c r="Q187" s="33">
        <v>1</v>
      </c>
      <c r="R187" s="33">
        <v>2.15869212962963</v>
      </c>
      <c r="S187" s="33">
        <v>2.1592708333333301</v>
      </c>
      <c r="T187" s="33">
        <v>0</v>
      </c>
      <c r="U187" s="33">
        <v>1</v>
      </c>
      <c r="V187" s="33">
        <v>2.1553240740740698</v>
      </c>
      <c r="W187" s="33">
        <v>56</v>
      </c>
      <c r="X187" s="33">
        <v>2</v>
      </c>
      <c r="Y187" s="33">
        <v>2</v>
      </c>
      <c r="Z187" s="33">
        <v>0</v>
      </c>
      <c r="AA187" s="33">
        <v>1</v>
      </c>
      <c r="AC187" s="29"/>
    </row>
    <row r="188" spans="1:29" x14ac:dyDescent="0.25">
      <c r="A188" s="27" t="s">
        <v>398</v>
      </c>
      <c r="B188" s="27" t="s">
        <v>14</v>
      </c>
      <c r="C188" s="27" t="s">
        <v>15</v>
      </c>
      <c r="D188" s="27" t="s">
        <v>154</v>
      </c>
      <c r="E188" s="27" t="s">
        <v>21</v>
      </c>
      <c r="F188" s="27" t="s">
        <v>505</v>
      </c>
      <c r="G188" s="27" t="s">
        <v>512</v>
      </c>
      <c r="H188" s="27" t="s">
        <v>513</v>
      </c>
      <c r="I188" s="27" t="s">
        <v>517</v>
      </c>
      <c r="J188" s="27" t="s">
        <v>523</v>
      </c>
      <c r="K188" s="27" t="s">
        <v>529</v>
      </c>
      <c r="L188" s="27" t="s">
        <v>539</v>
      </c>
      <c r="M188" s="30">
        <v>42416</v>
      </c>
      <c r="N188" s="30">
        <v>42425</v>
      </c>
      <c r="O188" s="30">
        <v>42453</v>
      </c>
      <c r="P188" s="27" t="s">
        <v>113</v>
      </c>
      <c r="Q188" s="32">
        <v>1</v>
      </c>
      <c r="R188" s="32">
        <v>41.309826388888901</v>
      </c>
      <c r="S188" s="32">
        <v>44.080532407407397</v>
      </c>
      <c r="T188" s="32">
        <v>1</v>
      </c>
      <c r="U188" s="32">
        <v>1</v>
      </c>
      <c r="V188" s="32">
        <v>41.307615740740701</v>
      </c>
      <c r="W188" s="32">
        <v>140</v>
      </c>
      <c r="X188" s="32">
        <v>16.5</v>
      </c>
      <c r="Y188" s="32">
        <v>9.5</v>
      </c>
      <c r="Z188" s="32">
        <v>7</v>
      </c>
      <c r="AA188" s="32">
        <v>1</v>
      </c>
      <c r="AC188" s="29"/>
    </row>
    <row r="189" spans="1:29" x14ac:dyDescent="0.25">
      <c r="A189" s="28" t="s">
        <v>399</v>
      </c>
      <c r="B189" s="28" t="s">
        <v>14</v>
      </c>
      <c r="C189" s="28" t="s">
        <v>13</v>
      </c>
      <c r="D189" s="28" t="s">
        <v>154</v>
      </c>
      <c r="E189" s="28" t="s">
        <v>21</v>
      </c>
      <c r="F189" s="28" t="s">
        <v>505</v>
      </c>
      <c r="G189" s="28" t="s">
        <v>512</v>
      </c>
      <c r="H189" s="28" t="s">
        <v>513</v>
      </c>
      <c r="I189" s="28" t="s">
        <v>517</v>
      </c>
      <c r="J189" s="28" t="s">
        <v>526</v>
      </c>
      <c r="K189" s="28" t="s">
        <v>529</v>
      </c>
      <c r="L189" s="28" t="s">
        <v>539</v>
      </c>
      <c r="M189" s="31">
        <v>42416</v>
      </c>
      <c r="N189" s="31">
        <v>42416</v>
      </c>
      <c r="O189" s="31">
        <v>42437</v>
      </c>
      <c r="P189" s="28" t="s">
        <v>106</v>
      </c>
      <c r="Q189" s="33">
        <v>1</v>
      </c>
      <c r="R189" s="33">
        <v>23.100960648148099</v>
      </c>
      <c r="S189" s="33">
        <v>37.0077314814815</v>
      </c>
      <c r="T189" s="33">
        <v>1</v>
      </c>
      <c r="U189" s="33">
        <v>1</v>
      </c>
      <c r="V189" s="33">
        <v>23.100474537037002</v>
      </c>
      <c r="W189" s="33">
        <v>56</v>
      </c>
      <c r="X189" s="33">
        <v>12.5</v>
      </c>
      <c r="Y189" s="33">
        <v>4.5</v>
      </c>
      <c r="Z189" s="33">
        <v>8</v>
      </c>
      <c r="AA189" s="33">
        <v>1</v>
      </c>
      <c r="AC189" s="29"/>
    </row>
    <row r="190" spans="1:29" x14ac:dyDescent="0.25">
      <c r="A190" s="27" t="s">
        <v>400</v>
      </c>
      <c r="B190" s="27" t="s">
        <v>14</v>
      </c>
      <c r="C190" s="27" t="s">
        <v>13</v>
      </c>
      <c r="D190" s="27" t="s">
        <v>154</v>
      </c>
      <c r="E190" s="27" t="s">
        <v>21</v>
      </c>
      <c r="F190" s="27" t="s">
        <v>506</v>
      </c>
      <c r="G190" s="27" t="s">
        <v>511</v>
      </c>
      <c r="H190" s="27" t="s">
        <v>513</v>
      </c>
      <c r="I190" s="27" t="s">
        <v>517</v>
      </c>
      <c r="J190" s="27" t="s">
        <v>526</v>
      </c>
      <c r="K190" s="27" t="s">
        <v>529</v>
      </c>
      <c r="L190" s="27" t="s">
        <v>539</v>
      </c>
      <c r="M190" s="30">
        <v>42416</v>
      </c>
      <c r="N190" s="30">
        <v>42416</v>
      </c>
      <c r="O190" s="30">
        <v>42437</v>
      </c>
      <c r="P190" s="27" t="s">
        <v>106</v>
      </c>
      <c r="Q190" s="32">
        <v>1</v>
      </c>
      <c r="R190" s="32">
        <v>23.105</v>
      </c>
      <c r="S190" s="32">
        <v>37.005787037037003</v>
      </c>
      <c r="T190" s="32">
        <v>1</v>
      </c>
      <c r="U190" s="32">
        <v>1</v>
      </c>
      <c r="V190" s="32">
        <v>23.104456018518501</v>
      </c>
      <c r="W190" s="32">
        <v>56</v>
      </c>
      <c r="X190" s="32">
        <v>13</v>
      </c>
      <c r="Y190" s="32">
        <v>5</v>
      </c>
      <c r="Z190" s="32">
        <v>8</v>
      </c>
      <c r="AA190" s="32">
        <v>1</v>
      </c>
      <c r="AC190" s="29"/>
    </row>
    <row r="191" spans="1:29" x14ac:dyDescent="0.25">
      <c r="A191" s="28" t="s">
        <v>401</v>
      </c>
      <c r="B191" s="28" t="s">
        <v>14</v>
      </c>
      <c r="C191" s="28" t="s">
        <v>13</v>
      </c>
      <c r="D191" s="28" t="s">
        <v>154</v>
      </c>
      <c r="E191" s="28" t="s">
        <v>21</v>
      </c>
      <c r="F191" s="28" t="s">
        <v>505</v>
      </c>
      <c r="G191" s="28" t="s">
        <v>512</v>
      </c>
      <c r="H191" s="28" t="s">
        <v>513</v>
      </c>
      <c r="I191" s="28" t="s">
        <v>516</v>
      </c>
      <c r="J191" s="28" t="s">
        <v>516</v>
      </c>
      <c r="K191" s="28" t="s">
        <v>529</v>
      </c>
      <c r="L191" s="28" t="s">
        <v>539</v>
      </c>
      <c r="M191" s="31">
        <v>42417</v>
      </c>
      <c r="N191" s="31"/>
      <c r="O191" s="31"/>
      <c r="P191" s="28" t="s">
        <v>104</v>
      </c>
      <c r="Q191" s="33">
        <v>1</v>
      </c>
      <c r="R191" s="33">
        <v>6.2978240740740699</v>
      </c>
      <c r="S191" s="33">
        <v>6.2980439814814799</v>
      </c>
      <c r="T191" s="33">
        <v>0</v>
      </c>
      <c r="U191" s="33">
        <v>1</v>
      </c>
      <c r="V191" s="33">
        <v>6.2970023148148204</v>
      </c>
      <c r="W191" s="33">
        <v>56</v>
      </c>
      <c r="X191" s="33">
        <v>3.5</v>
      </c>
      <c r="Y191" s="33">
        <v>3.5</v>
      </c>
      <c r="Z191" s="33">
        <v>0</v>
      </c>
      <c r="AA191" s="33">
        <v>1</v>
      </c>
      <c r="AC191" s="29"/>
    </row>
    <row r="192" spans="1:29" x14ac:dyDescent="0.25">
      <c r="A192" s="27" t="s">
        <v>402</v>
      </c>
      <c r="B192" s="27" t="s">
        <v>14</v>
      </c>
      <c r="C192" s="27" t="s">
        <v>13</v>
      </c>
      <c r="D192" s="27" t="s">
        <v>154</v>
      </c>
      <c r="E192" s="27" t="s">
        <v>21</v>
      </c>
      <c r="F192" s="27" t="s">
        <v>506</v>
      </c>
      <c r="G192" s="27" t="s">
        <v>511</v>
      </c>
      <c r="H192" s="27" t="s">
        <v>513</v>
      </c>
      <c r="I192" s="27" t="s">
        <v>516</v>
      </c>
      <c r="J192" s="27" t="s">
        <v>516</v>
      </c>
      <c r="K192" s="27" t="s">
        <v>529</v>
      </c>
      <c r="L192" s="27" t="s">
        <v>539</v>
      </c>
      <c r="M192" s="30">
        <v>42417</v>
      </c>
      <c r="N192" s="30"/>
      <c r="O192" s="30"/>
      <c r="P192" s="27" t="s">
        <v>101</v>
      </c>
      <c r="Q192" s="32">
        <v>1</v>
      </c>
      <c r="R192" s="32">
        <v>12.234224537037001</v>
      </c>
      <c r="S192" s="32">
        <v>36.247824074074103</v>
      </c>
      <c r="T192" s="32">
        <v>0</v>
      </c>
      <c r="U192" s="32">
        <v>1</v>
      </c>
      <c r="V192" s="32">
        <v>12.2337615740741</v>
      </c>
      <c r="W192" s="32">
        <v>56</v>
      </c>
      <c r="X192" s="32">
        <v>4.5</v>
      </c>
      <c r="Y192" s="32">
        <v>4.5</v>
      </c>
      <c r="Z192" s="32">
        <v>0</v>
      </c>
      <c r="AA192" s="32">
        <v>1</v>
      </c>
      <c r="AC192" s="29"/>
    </row>
    <row r="193" spans="1:29" x14ac:dyDescent="0.25">
      <c r="A193" s="28" t="s">
        <v>403</v>
      </c>
      <c r="B193" s="28" t="s">
        <v>14</v>
      </c>
      <c r="C193" s="28" t="s">
        <v>13</v>
      </c>
      <c r="D193" s="28" t="s">
        <v>154</v>
      </c>
      <c r="E193" s="28" t="s">
        <v>21</v>
      </c>
      <c r="F193" s="28" t="s">
        <v>505</v>
      </c>
      <c r="G193" s="28" t="s">
        <v>512</v>
      </c>
      <c r="H193" s="28" t="s">
        <v>513</v>
      </c>
      <c r="I193" s="28" t="s">
        <v>516</v>
      </c>
      <c r="J193" s="28" t="s">
        <v>516</v>
      </c>
      <c r="K193" s="28" t="s">
        <v>529</v>
      </c>
      <c r="L193" s="28" t="s">
        <v>539</v>
      </c>
      <c r="M193" s="31">
        <v>42417</v>
      </c>
      <c r="N193" s="31"/>
      <c r="O193" s="31"/>
      <c r="P193" s="28" t="s">
        <v>101</v>
      </c>
      <c r="Q193" s="33">
        <v>1</v>
      </c>
      <c r="R193" s="33">
        <v>5.0859722222222201</v>
      </c>
      <c r="S193" s="33">
        <v>5.0861458333333296</v>
      </c>
      <c r="T193" s="33">
        <v>0</v>
      </c>
      <c r="U193" s="33">
        <v>1</v>
      </c>
      <c r="V193" s="33">
        <v>5.0854513888888899</v>
      </c>
      <c r="W193" s="33">
        <v>56</v>
      </c>
      <c r="X193" s="33">
        <v>1.5</v>
      </c>
      <c r="Y193" s="33">
        <v>1.5</v>
      </c>
      <c r="Z193" s="33">
        <v>0</v>
      </c>
      <c r="AA193" s="33">
        <v>1</v>
      </c>
      <c r="AC193" s="29"/>
    </row>
    <row r="194" spans="1:29" x14ac:dyDescent="0.25">
      <c r="A194" s="27" t="s">
        <v>404</v>
      </c>
      <c r="B194" s="27" t="s">
        <v>14</v>
      </c>
      <c r="C194" s="27" t="s">
        <v>13</v>
      </c>
      <c r="D194" s="27" t="s">
        <v>154</v>
      </c>
      <c r="E194" s="27" t="s">
        <v>21</v>
      </c>
      <c r="F194" s="27" t="s">
        <v>506</v>
      </c>
      <c r="G194" s="27" t="s">
        <v>511</v>
      </c>
      <c r="H194" s="27" t="s">
        <v>513</v>
      </c>
      <c r="I194" s="27" t="s">
        <v>516</v>
      </c>
      <c r="J194" s="27" t="s">
        <v>516</v>
      </c>
      <c r="K194" s="27" t="s">
        <v>529</v>
      </c>
      <c r="L194" s="27" t="s">
        <v>539</v>
      </c>
      <c r="M194" s="30">
        <v>42417</v>
      </c>
      <c r="N194" s="30"/>
      <c r="O194" s="30"/>
      <c r="P194" s="27" t="s">
        <v>101</v>
      </c>
      <c r="Q194" s="32">
        <v>1</v>
      </c>
      <c r="R194" s="32">
        <v>5.0798842592592601</v>
      </c>
      <c r="S194" s="32">
        <v>5.08090277777778</v>
      </c>
      <c r="T194" s="32">
        <v>0</v>
      </c>
      <c r="U194" s="32">
        <v>1</v>
      </c>
      <c r="V194" s="32">
        <v>5.07944444444444</v>
      </c>
      <c r="W194" s="32">
        <v>56</v>
      </c>
      <c r="X194" s="32">
        <v>1.5</v>
      </c>
      <c r="Y194" s="32">
        <v>1.5</v>
      </c>
      <c r="Z194" s="32">
        <v>0</v>
      </c>
      <c r="AA194" s="32">
        <v>1</v>
      </c>
      <c r="AC194" s="29"/>
    </row>
    <row r="195" spans="1:29" x14ac:dyDescent="0.25">
      <c r="A195" s="28" t="s">
        <v>405</v>
      </c>
      <c r="B195" s="28" t="s">
        <v>14</v>
      </c>
      <c r="C195" s="28" t="s">
        <v>13</v>
      </c>
      <c r="D195" s="28" t="s">
        <v>154</v>
      </c>
      <c r="E195" s="28" t="s">
        <v>21</v>
      </c>
      <c r="F195" s="28" t="s">
        <v>505</v>
      </c>
      <c r="G195" s="28" t="s">
        <v>512</v>
      </c>
      <c r="H195" s="28" t="s">
        <v>513</v>
      </c>
      <c r="I195" s="28" t="s">
        <v>516</v>
      </c>
      <c r="J195" s="28" t="s">
        <v>516</v>
      </c>
      <c r="K195" s="28" t="s">
        <v>529</v>
      </c>
      <c r="L195" s="28" t="s">
        <v>539</v>
      </c>
      <c r="M195" s="31">
        <v>42424</v>
      </c>
      <c r="N195" s="31"/>
      <c r="O195" s="31"/>
      <c r="P195" s="28" t="s">
        <v>102</v>
      </c>
      <c r="Q195" s="33">
        <v>1</v>
      </c>
      <c r="R195" s="33">
        <v>33.032060185185202</v>
      </c>
      <c r="S195" s="33">
        <v>36.858310185185204</v>
      </c>
      <c r="T195" s="33">
        <v>0</v>
      </c>
      <c r="U195" s="33">
        <v>1</v>
      </c>
      <c r="V195" s="33">
        <v>33.030775462963</v>
      </c>
      <c r="W195" s="33">
        <v>56</v>
      </c>
      <c r="X195" s="33">
        <v>7.5</v>
      </c>
      <c r="Y195" s="33">
        <v>7.5</v>
      </c>
      <c r="Z195" s="33">
        <v>0</v>
      </c>
      <c r="AA195" s="33">
        <v>1</v>
      </c>
      <c r="AC195" s="29"/>
    </row>
    <row r="196" spans="1:29" x14ac:dyDescent="0.25">
      <c r="A196" s="27" t="s">
        <v>406</v>
      </c>
      <c r="B196" s="27" t="s">
        <v>14</v>
      </c>
      <c r="C196" s="27" t="s">
        <v>13</v>
      </c>
      <c r="D196" s="27" t="s">
        <v>154</v>
      </c>
      <c r="E196" s="27" t="s">
        <v>21</v>
      </c>
      <c r="F196" s="27" t="s">
        <v>506</v>
      </c>
      <c r="G196" s="27" t="s">
        <v>511</v>
      </c>
      <c r="H196" s="27" t="s">
        <v>513</v>
      </c>
      <c r="I196" s="27" t="s">
        <v>516</v>
      </c>
      <c r="J196" s="27" t="s">
        <v>516</v>
      </c>
      <c r="K196" s="27" t="s">
        <v>529</v>
      </c>
      <c r="L196" s="27" t="s">
        <v>539</v>
      </c>
      <c r="M196" s="30">
        <v>42424</v>
      </c>
      <c r="N196" s="30"/>
      <c r="O196" s="30"/>
      <c r="P196" s="27" t="s">
        <v>102</v>
      </c>
      <c r="Q196" s="32">
        <v>1</v>
      </c>
      <c r="R196" s="32">
        <v>33.023634259259303</v>
      </c>
      <c r="S196" s="32">
        <v>36.853587962962997</v>
      </c>
      <c r="T196" s="32">
        <v>0</v>
      </c>
      <c r="U196" s="32">
        <v>1</v>
      </c>
      <c r="V196" s="32">
        <v>33.022546296296298</v>
      </c>
      <c r="W196" s="32">
        <v>56</v>
      </c>
      <c r="X196" s="32">
        <v>8</v>
      </c>
      <c r="Y196" s="32">
        <v>8</v>
      </c>
      <c r="Z196" s="32">
        <v>0</v>
      </c>
      <c r="AA196" s="32">
        <v>1</v>
      </c>
      <c r="AC196" s="29"/>
    </row>
    <row r="197" spans="1:29" x14ac:dyDescent="0.25">
      <c r="A197" s="28" t="s">
        <v>407</v>
      </c>
      <c r="B197" s="28" t="s">
        <v>498</v>
      </c>
      <c r="C197" s="28" t="s">
        <v>15</v>
      </c>
      <c r="D197" s="28" t="s">
        <v>154</v>
      </c>
      <c r="E197" s="28" t="s">
        <v>21</v>
      </c>
      <c r="F197" s="28" t="s">
        <v>505</v>
      </c>
      <c r="G197" s="28" t="s">
        <v>512</v>
      </c>
      <c r="H197" s="28" t="s">
        <v>513</v>
      </c>
      <c r="I197" s="28" t="s">
        <v>517</v>
      </c>
      <c r="J197" s="28" t="s">
        <v>523</v>
      </c>
      <c r="K197" s="28" t="s">
        <v>529</v>
      </c>
      <c r="L197" s="28" t="s">
        <v>539</v>
      </c>
      <c r="M197" s="31">
        <v>42425</v>
      </c>
      <c r="N197" s="31">
        <v>42425</v>
      </c>
      <c r="O197" s="31">
        <v>42432</v>
      </c>
      <c r="P197" s="28" t="s">
        <v>115</v>
      </c>
      <c r="Q197" s="33">
        <v>1</v>
      </c>
      <c r="R197" s="33">
        <v>6.7341319444444396</v>
      </c>
      <c r="S197" s="33">
        <v>6.734375</v>
      </c>
      <c r="T197" s="33">
        <v>1</v>
      </c>
      <c r="U197" s="33">
        <v>1</v>
      </c>
      <c r="V197" s="33">
        <v>6.7336226851851899</v>
      </c>
      <c r="W197" s="33">
        <v>140</v>
      </c>
      <c r="X197" s="33">
        <v>2.75</v>
      </c>
      <c r="Y197" s="33">
        <v>1.75</v>
      </c>
      <c r="Z197" s="33">
        <v>1</v>
      </c>
      <c r="AA197" s="33">
        <v>1</v>
      </c>
      <c r="AC197" s="29"/>
    </row>
    <row r="198" spans="1:29" x14ac:dyDescent="0.25">
      <c r="A198" s="27" t="s">
        <v>408</v>
      </c>
      <c r="B198" s="27" t="s">
        <v>14</v>
      </c>
      <c r="C198" s="27" t="s">
        <v>13</v>
      </c>
      <c r="D198" s="27" t="s">
        <v>75</v>
      </c>
      <c r="E198" s="27" t="s">
        <v>28</v>
      </c>
      <c r="F198" s="27" t="s">
        <v>506</v>
      </c>
      <c r="G198" s="27" t="s">
        <v>510</v>
      </c>
      <c r="H198" s="27" t="s">
        <v>513</v>
      </c>
      <c r="I198" s="27" t="s">
        <v>516</v>
      </c>
      <c r="J198" s="27" t="s">
        <v>516</v>
      </c>
      <c r="K198" s="27" t="s">
        <v>529</v>
      </c>
      <c r="L198" s="27" t="s">
        <v>539</v>
      </c>
      <c r="M198" s="30">
        <v>42428</v>
      </c>
      <c r="N198" s="30"/>
      <c r="O198" s="30"/>
      <c r="P198" s="27" t="s">
        <v>99</v>
      </c>
      <c r="Q198" s="32">
        <v>1</v>
      </c>
      <c r="R198" s="32">
        <v>9.0346759259259297</v>
      </c>
      <c r="S198" s="32">
        <v>10.2408101851852</v>
      </c>
      <c r="T198" s="32">
        <v>0</v>
      </c>
      <c r="U198" s="32">
        <v>1</v>
      </c>
      <c r="V198" s="32">
        <v>9.0343518518518504</v>
      </c>
      <c r="W198" s="32">
        <v>20</v>
      </c>
      <c r="X198" s="32">
        <v>6</v>
      </c>
      <c r="Y198" s="32">
        <v>6</v>
      </c>
      <c r="Z198" s="32">
        <v>0</v>
      </c>
      <c r="AA198" s="32">
        <v>1</v>
      </c>
      <c r="AC198" s="29"/>
    </row>
    <row r="199" spans="1:29" x14ac:dyDescent="0.25">
      <c r="A199" s="28" t="s">
        <v>409</v>
      </c>
      <c r="B199" s="28" t="s">
        <v>14</v>
      </c>
      <c r="C199" s="28" t="s">
        <v>13</v>
      </c>
      <c r="D199" s="28" t="s">
        <v>154</v>
      </c>
      <c r="E199" s="28" t="s">
        <v>21</v>
      </c>
      <c r="F199" s="28" t="s">
        <v>506</v>
      </c>
      <c r="G199" s="28" t="s">
        <v>511</v>
      </c>
      <c r="H199" s="28" t="s">
        <v>513</v>
      </c>
      <c r="I199" s="28" t="s">
        <v>516</v>
      </c>
      <c r="J199" s="28" t="s">
        <v>516</v>
      </c>
      <c r="K199" s="28" t="s">
        <v>529</v>
      </c>
      <c r="L199" s="28" t="s">
        <v>539</v>
      </c>
      <c r="M199" s="31">
        <v>42433</v>
      </c>
      <c r="N199" s="31"/>
      <c r="O199" s="31"/>
      <c r="P199" s="28" t="s">
        <v>104</v>
      </c>
      <c r="Q199" s="33">
        <v>1</v>
      </c>
      <c r="R199" s="33">
        <v>96.921516203703703</v>
      </c>
      <c r="S199" s="33">
        <v>96.9216319444444</v>
      </c>
      <c r="T199" s="33">
        <v>0</v>
      </c>
      <c r="U199" s="33">
        <v>1</v>
      </c>
      <c r="V199" s="33">
        <v>17.8895949074074</v>
      </c>
      <c r="W199" s="33">
        <v>56</v>
      </c>
      <c r="X199" s="33">
        <v>21</v>
      </c>
      <c r="Y199" s="33">
        <v>21</v>
      </c>
      <c r="Z199" s="33">
        <v>0</v>
      </c>
      <c r="AA199" s="33">
        <v>1</v>
      </c>
      <c r="AC199" s="29"/>
    </row>
    <row r="200" spans="1:29" x14ac:dyDescent="0.25">
      <c r="A200" s="27" t="s">
        <v>410</v>
      </c>
      <c r="B200" s="27" t="s">
        <v>14</v>
      </c>
      <c r="C200" s="27" t="s">
        <v>13</v>
      </c>
      <c r="D200" s="27" t="s">
        <v>154</v>
      </c>
      <c r="E200" s="27" t="s">
        <v>21</v>
      </c>
      <c r="F200" s="27" t="s">
        <v>506</v>
      </c>
      <c r="G200" s="27" t="s">
        <v>511</v>
      </c>
      <c r="H200" s="27" t="s">
        <v>513</v>
      </c>
      <c r="I200" s="27" t="s">
        <v>516</v>
      </c>
      <c r="J200" s="27" t="s">
        <v>516</v>
      </c>
      <c r="K200" s="27" t="s">
        <v>529</v>
      </c>
      <c r="L200" s="27" t="s">
        <v>539</v>
      </c>
      <c r="M200" s="30">
        <v>42433</v>
      </c>
      <c r="N200" s="30"/>
      <c r="O200" s="30"/>
      <c r="P200" s="27" t="s">
        <v>104</v>
      </c>
      <c r="Q200" s="32">
        <v>1</v>
      </c>
      <c r="R200" s="32">
        <v>17.895486111111101</v>
      </c>
      <c r="S200" s="32">
        <v>96.789363425925899</v>
      </c>
      <c r="T200" s="32">
        <v>0</v>
      </c>
      <c r="U200" s="32">
        <v>1</v>
      </c>
      <c r="V200" s="32">
        <v>17.892893518518498</v>
      </c>
      <c r="W200" s="32">
        <v>56</v>
      </c>
      <c r="X200" s="32">
        <v>15</v>
      </c>
      <c r="Y200" s="32">
        <v>15</v>
      </c>
      <c r="Z200" s="32">
        <v>0</v>
      </c>
      <c r="AA200" s="32">
        <v>1</v>
      </c>
      <c r="AC200" s="29"/>
    </row>
    <row r="201" spans="1:29" x14ac:dyDescent="0.25">
      <c r="A201" s="28" t="s">
        <v>411</v>
      </c>
      <c r="B201" s="28" t="s">
        <v>14</v>
      </c>
      <c r="C201" s="28" t="s">
        <v>13</v>
      </c>
      <c r="D201" s="28" t="s">
        <v>154</v>
      </c>
      <c r="E201" s="28" t="s">
        <v>21</v>
      </c>
      <c r="F201" s="28" t="s">
        <v>506</v>
      </c>
      <c r="G201" s="28" t="s">
        <v>511</v>
      </c>
      <c r="H201" s="28" t="s">
        <v>513</v>
      </c>
      <c r="I201" s="28" t="s">
        <v>516</v>
      </c>
      <c r="J201" s="28" t="s">
        <v>516</v>
      </c>
      <c r="K201" s="28" t="s">
        <v>529</v>
      </c>
      <c r="L201" s="28" t="s">
        <v>539</v>
      </c>
      <c r="M201" s="31">
        <v>42433</v>
      </c>
      <c r="N201" s="31"/>
      <c r="O201" s="31"/>
      <c r="P201" s="28" t="s">
        <v>104</v>
      </c>
      <c r="Q201" s="33">
        <v>1</v>
      </c>
      <c r="R201" s="33">
        <v>17.9114583333333</v>
      </c>
      <c r="S201" s="33">
        <v>96.794976851851899</v>
      </c>
      <c r="T201" s="33">
        <v>0</v>
      </c>
      <c r="U201" s="33">
        <v>1</v>
      </c>
      <c r="V201" s="33">
        <v>17.9069560185185</v>
      </c>
      <c r="W201" s="33">
        <v>56</v>
      </c>
      <c r="X201" s="33">
        <v>20</v>
      </c>
      <c r="Y201" s="33">
        <v>20</v>
      </c>
      <c r="Z201" s="33">
        <v>0</v>
      </c>
      <c r="AA201" s="33">
        <v>1</v>
      </c>
      <c r="AC201" s="29"/>
    </row>
    <row r="202" spans="1:29" x14ac:dyDescent="0.25">
      <c r="A202" s="27" t="s">
        <v>412</v>
      </c>
      <c r="B202" s="27" t="s">
        <v>14</v>
      </c>
      <c r="C202" s="27" t="s">
        <v>16</v>
      </c>
      <c r="D202" s="27" t="s">
        <v>154</v>
      </c>
      <c r="E202" s="27" t="s">
        <v>21</v>
      </c>
      <c r="F202" s="27" t="s">
        <v>506</v>
      </c>
      <c r="G202" s="27" t="s">
        <v>511</v>
      </c>
      <c r="H202" s="27" t="s">
        <v>513</v>
      </c>
      <c r="I202" s="27" t="s">
        <v>516</v>
      </c>
      <c r="J202" s="27" t="s">
        <v>516</v>
      </c>
      <c r="K202" s="27" t="s">
        <v>529</v>
      </c>
      <c r="L202" s="27" t="s">
        <v>539</v>
      </c>
      <c r="M202" s="30">
        <v>42433</v>
      </c>
      <c r="N202" s="30"/>
      <c r="O202" s="30"/>
      <c r="P202" s="27" t="s">
        <v>102</v>
      </c>
      <c r="Q202" s="32">
        <v>1</v>
      </c>
      <c r="R202" s="32">
        <v>6.0512962962963002</v>
      </c>
      <c r="S202" s="32">
        <v>27.0054861111111</v>
      </c>
      <c r="T202" s="32">
        <v>0</v>
      </c>
      <c r="U202" s="32">
        <v>1</v>
      </c>
      <c r="V202" s="32">
        <v>6.0502662037036998</v>
      </c>
      <c r="W202" s="32">
        <v>28</v>
      </c>
      <c r="X202" s="32">
        <v>16</v>
      </c>
      <c r="Y202" s="32">
        <v>16</v>
      </c>
      <c r="Z202" s="32">
        <v>0</v>
      </c>
      <c r="AA202" s="32">
        <v>1</v>
      </c>
      <c r="AC202" s="29"/>
    </row>
    <row r="203" spans="1:29" x14ac:dyDescent="0.25">
      <c r="A203" s="28" t="s">
        <v>413</v>
      </c>
      <c r="B203" s="28" t="s">
        <v>14</v>
      </c>
      <c r="C203" s="28" t="s">
        <v>16</v>
      </c>
      <c r="D203" s="28" t="s">
        <v>154</v>
      </c>
      <c r="E203" s="28" t="s">
        <v>21</v>
      </c>
      <c r="F203" s="28" t="s">
        <v>506</v>
      </c>
      <c r="G203" s="28" t="s">
        <v>511</v>
      </c>
      <c r="H203" s="28" t="s">
        <v>513</v>
      </c>
      <c r="I203" s="28" t="s">
        <v>516</v>
      </c>
      <c r="J203" s="28" t="s">
        <v>516</v>
      </c>
      <c r="K203" s="28" t="s">
        <v>529</v>
      </c>
      <c r="L203" s="28" t="s">
        <v>539</v>
      </c>
      <c r="M203" s="31">
        <v>42433</v>
      </c>
      <c r="N203" s="31"/>
      <c r="O203" s="31"/>
      <c r="P203" s="28" t="s">
        <v>102</v>
      </c>
      <c r="Q203" s="33">
        <v>1</v>
      </c>
      <c r="R203" s="33">
        <v>5.9521875</v>
      </c>
      <c r="S203" s="33">
        <v>27.0018171296296</v>
      </c>
      <c r="T203" s="33">
        <v>0</v>
      </c>
      <c r="U203" s="33">
        <v>1</v>
      </c>
      <c r="V203" s="33">
        <v>5.9512268518518496</v>
      </c>
      <c r="W203" s="33">
        <v>28</v>
      </c>
      <c r="X203" s="33">
        <v>16.5</v>
      </c>
      <c r="Y203" s="33">
        <v>16.5</v>
      </c>
      <c r="Z203" s="33">
        <v>0</v>
      </c>
      <c r="AA203" s="33">
        <v>1</v>
      </c>
      <c r="AC203" s="29"/>
    </row>
    <row r="204" spans="1:29" x14ac:dyDescent="0.25">
      <c r="A204" s="27" t="s">
        <v>414</v>
      </c>
      <c r="B204" s="27" t="s">
        <v>14</v>
      </c>
      <c r="C204" s="27" t="s">
        <v>13</v>
      </c>
      <c r="D204" s="27" t="s">
        <v>154</v>
      </c>
      <c r="E204" s="27" t="s">
        <v>21</v>
      </c>
      <c r="F204" s="27" t="s">
        <v>506</v>
      </c>
      <c r="G204" s="27" t="s">
        <v>511</v>
      </c>
      <c r="H204" s="27" t="s">
        <v>513</v>
      </c>
      <c r="I204" s="27" t="s">
        <v>516</v>
      </c>
      <c r="J204" s="27" t="s">
        <v>516</v>
      </c>
      <c r="K204" s="27" t="s">
        <v>529</v>
      </c>
      <c r="L204" s="27" t="s">
        <v>539</v>
      </c>
      <c r="M204" s="30">
        <v>42433</v>
      </c>
      <c r="N204" s="30"/>
      <c r="O204" s="30"/>
      <c r="P204" s="27" t="s">
        <v>102</v>
      </c>
      <c r="Q204" s="32">
        <v>1</v>
      </c>
      <c r="R204" s="32">
        <v>26.997453703703702</v>
      </c>
      <c r="S204" s="32">
        <v>96.850462962962993</v>
      </c>
      <c r="T204" s="32">
        <v>0</v>
      </c>
      <c r="U204" s="32">
        <v>1</v>
      </c>
      <c r="V204" s="32">
        <v>26.9968055555556</v>
      </c>
      <c r="W204" s="32">
        <v>56</v>
      </c>
      <c r="X204" s="32">
        <v>26.5</v>
      </c>
      <c r="Y204" s="32">
        <v>26.5</v>
      </c>
      <c r="Z204" s="32">
        <v>0</v>
      </c>
      <c r="AA204" s="32">
        <v>1</v>
      </c>
      <c r="AC204" s="29"/>
    </row>
    <row r="205" spans="1:29" x14ac:dyDescent="0.25">
      <c r="A205" s="28" t="s">
        <v>415</v>
      </c>
      <c r="B205" s="28" t="s">
        <v>14</v>
      </c>
      <c r="C205" s="28" t="s">
        <v>13</v>
      </c>
      <c r="D205" s="28" t="s">
        <v>154</v>
      </c>
      <c r="E205" s="28" t="s">
        <v>21</v>
      </c>
      <c r="F205" s="28" t="s">
        <v>506</v>
      </c>
      <c r="G205" s="28" t="s">
        <v>511</v>
      </c>
      <c r="H205" s="28" t="s">
        <v>513</v>
      </c>
      <c r="I205" s="28" t="s">
        <v>517</v>
      </c>
      <c r="J205" s="28" t="s">
        <v>523</v>
      </c>
      <c r="K205" s="28" t="s">
        <v>529</v>
      </c>
      <c r="L205" s="28" t="s">
        <v>539</v>
      </c>
      <c r="M205" s="31">
        <v>42433</v>
      </c>
      <c r="N205" s="31">
        <v>42436</v>
      </c>
      <c r="O205" s="31">
        <v>42446</v>
      </c>
      <c r="P205" s="28" t="s">
        <v>98</v>
      </c>
      <c r="Q205" s="33">
        <v>1</v>
      </c>
      <c r="R205" s="33">
        <v>12.938472222222201</v>
      </c>
      <c r="S205" s="33">
        <v>26.771435185185201</v>
      </c>
      <c r="T205" s="33">
        <v>1</v>
      </c>
      <c r="U205" s="33">
        <v>1</v>
      </c>
      <c r="V205" s="33">
        <v>12.936979166666699</v>
      </c>
      <c r="W205" s="33">
        <v>56</v>
      </c>
      <c r="X205" s="33">
        <v>7</v>
      </c>
      <c r="Y205" s="33">
        <v>3</v>
      </c>
      <c r="Z205" s="33">
        <v>4</v>
      </c>
      <c r="AA205" s="33">
        <v>1</v>
      </c>
      <c r="AC205" s="29"/>
    </row>
    <row r="206" spans="1:29" x14ac:dyDescent="0.25">
      <c r="A206" s="27" t="s">
        <v>416</v>
      </c>
      <c r="B206" s="27" t="s">
        <v>14</v>
      </c>
      <c r="C206" s="27" t="s">
        <v>16</v>
      </c>
      <c r="D206" s="27" t="s">
        <v>154</v>
      </c>
      <c r="E206" s="27" t="s">
        <v>21</v>
      </c>
      <c r="F206" s="27" t="s">
        <v>505</v>
      </c>
      <c r="G206" s="27" t="s">
        <v>512</v>
      </c>
      <c r="H206" s="27" t="s">
        <v>513</v>
      </c>
      <c r="I206" s="27" t="s">
        <v>516</v>
      </c>
      <c r="J206" s="27" t="s">
        <v>516</v>
      </c>
      <c r="K206" s="27" t="s">
        <v>529</v>
      </c>
      <c r="L206" s="27" t="s">
        <v>539</v>
      </c>
      <c r="M206" s="30">
        <v>42438</v>
      </c>
      <c r="N206" s="30"/>
      <c r="O206" s="30"/>
      <c r="P206" s="27" t="s">
        <v>105</v>
      </c>
      <c r="Q206" s="32">
        <v>1</v>
      </c>
      <c r="R206" s="32">
        <v>15.166319444444399</v>
      </c>
      <c r="S206" s="32">
        <v>15.1667476851852</v>
      </c>
      <c r="T206" s="32">
        <v>0</v>
      </c>
      <c r="U206" s="32">
        <v>1</v>
      </c>
      <c r="V206" s="32">
        <v>15.1658333333333</v>
      </c>
      <c r="W206" s="32">
        <v>28</v>
      </c>
      <c r="X206" s="32">
        <v>12</v>
      </c>
      <c r="Y206" s="32">
        <v>12</v>
      </c>
      <c r="Z206" s="32">
        <v>0</v>
      </c>
      <c r="AA206" s="32">
        <v>1</v>
      </c>
      <c r="AC206" s="29"/>
    </row>
    <row r="207" spans="1:29" x14ac:dyDescent="0.25">
      <c r="A207" s="28" t="s">
        <v>417</v>
      </c>
      <c r="B207" s="28" t="s">
        <v>14</v>
      </c>
      <c r="C207" s="28" t="s">
        <v>16</v>
      </c>
      <c r="D207" s="28" t="s">
        <v>154</v>
      </c>
      <c r="E207" s="28" t="s">
        <v>21</v>
      </c>
      <c r="F207" s="28" t="s">
        <v>505</v>
      </c>
      <c r="G207" s="28" t="s">
        <v>512</v>
      </c>
      <c r="H207" s="28" t="s">
        <v>513</v>
      </c>
      <c r="I207" s="28" t="s">
        <v>516</v>
      </c>
      <c r="J207" s="28" t="s">
        <v>516</v>
      </c>
      <c r="K207" s="28" t="s">
        <v>529</v>
      </c>
      <c r="L207" s="28" t="s">
        <v>539</v>
      </c>
      <c r="M207" s="31">
        <v>42438</v>
      </c>
      <c r="N207" s="31"/>
      <c r="O207" s="31"/>
      <c r="P207" s="28" t="s">
        <v>105</v>
      </c>
      <c r="Q207" s="33">
        <v>1</v>
      </c>
      <c r="R207" s="33">
        <v>15.1563078703704</v>
      </c>
      <c r="S207" s="33">
        <v>15.157037037037</v>
      </c>
      <c r="T207" s="33">
        <v>0</v>
      </c>
      <c r="U207" s="33">
        <v>1</v>
      </c>
      <c r="V207" s="33">
        <v>15.1559722222222</v>
      </c>
      <c r="W207" s="33">
        <v>28</v>
      </c>
      <c r="X207" s="33">
        <v>12</v>
      </c>
      <c r="Y207" s="33">
        <v>12</v>
      </c>
      <c r="Z207" s="33">
        <v>0</v>
      </c>
      <c r="AA207" s="33">
        <v>1</v>
      </c>
      <c r="AC207" s="29"/>
    </row>
    <row r="208" spans="1:29" x14ac:dyDescent="0.25">
      <c r="A208" s="27" t="s">
        <v>418</v>
      </c>
      <c r="B208" s="27" t="s">
        <v>14</v>
      </c>
      <c r="C208" s="27" t="s">
        <v>13</v>
      </c>
      <c r="D208" s="27" t="s">
        <v>154</v>
      </c>
      <c r="E208" s="27" t="s">
        <v>21</v>
      </c>
      <c r="F208" s="27" t="s">
        <v>506</v>
      </c>
      <c r="G208" s="27" t="s">
        <v>510</v>
      </c>
      <c r="H208" s="27" t="s">
        <v>513</v>
      </c>
      <c r="I208" s="27" t="s">
        <v>516</v>
      </c>
      <c r="J208" s="27" t="s">
        <v>516</v>
      </c>
      <c r="K208" s="27" t="s">
        <v>529</v>
      </c>
      <c r="L208" s="27" t="s">
        <v>539</v>
      </c>
      <c r="M208" s="30">
        <v>42444</v>
      </c>
      <c r="N208" s="30"/>
      <c r="O208" s="30"/>
      <c r="P208" s="27" t="s">
        <v>105</v>
      </c>
      <c r="Q208" s="32">
        <v>1</v>
      </c>
      <c r="R208" s="32">
        <v>3.3000810185185201</v>
      </c>
      <c r="S208" s="32">
        <v>9.2004629629629697</v>
      </c>
      <c r="T208" s="32">
        <v>0</v>
      </c>
      <c r="U208" s="32">
        <v>1</v>
      </c>
      <c r="V208" s="32">
        <v>3.2995717592592602</v>
      </c>
      <c r="W208" s="32">
        <v>56</v>
      </c>
      <c r="X208" s="32">
        <v>8</v>
      </c>
      <c r="Y208" s="32">
        <v>8</v>
      </c>
      <c r="Z208" s="32">
        <v>0</v>
      </c>
      <c r="AA208" s="32">
        <v>1</v>
      </c>
      <c r="AC208" s="29"/>
    </row>
    <row r="209" spans="1:29" x14ac:dyDescent="0.25">
      <c r="A209" s="28" t="s">
        <v>419</v>
      </c>
      <c r="B209" s="28" t="s">
        <v>14</v>
      </c>
      <c r="C209" s="28" t="s">
        <v>13</v>
      </c>
      <c r="D209" s="28" t="s">
        <v>154</v>
      </c>
      <c r="E209" s="28" t="s">
        <v>21</v>
      </c>
      <c r="F209" s="28" t="s">
        <v>506</v>
      </c>
      <c r="G209" s="28" t="s">
        <v>511</v>
      </c>
      <c r="H209" s="28" t="s">
        <v>513</v>
      </c>
      <c r="I209" s="28" t="s">
        <v>516</v>
      </c>
      <c r="J209" s="28" t="s">
        <v>516</v>
      </c>
      <c r="K209" s="28" t="s">
        <v>529</v>
      </c>
      <c r="L209" s="28" t="s">
        <v>539</v>
      </c>
      <c r="M209" s="31">
        <v>42445</v>
      </c>
      <c r="N209" s="31"/>
      <c r="O209" s="31"/>
      <c r="P209" s="28" t="s">
        <v>105</v>
      </c>
      <c r="Q209" s="33">
        <v>1</v>
      </c>
      <c r="R209" s="33">
        <v>14.994606481481499</v>
      </c>
      <c r="S209" s="33">
        <v>65.605416666666699</v>
      </c>
      <c r="T209" s="33">
        <v>0</v>
      </c>
      <c r="U209" s="33">
        <v>1</v>
      </c>
      <c r="V209" s="33">
        <v>14.994363425925901</v>
      </c>
      <c r="W209" s="33">
        <v>56</v>
      </c>
      <c r="X209" s="33">
        <v>13.5</v>
      </c>
      <c r="Y209" s="33">
        <v>13.5</v>
      </c>
      <c r="Z209" s="33">
        <v>0</v>
      </c>
      <c r="AA209" s="33">
        <v>1</v>
      </c>
      <c r="AC209" s="29"/>
    </row>
    <row r="210" spans="1:29" x14ac:dyDescent="0.25">
      <c r="A210" s="27" t="s">
        <v>420</v>
      </c>
      <c r="B210" s="27" t="s">
        <v>14</v>
      </c>
      <c r="C210" s="27" t="s">
        <v>13</v>
      </c>
      <c r="D210" s="27" t="s">
        <v>154</v>
      </c>
      <c r="E210" s="27" t="s">
        <v>21</v>
      </c>
      <c r="F210" s="27" t="s">
        <v>506</v>
      </c>
      <c r="G210" s="27" t="s">
        <v>511</v>
      </c>
      <c r="H210" s="27" t="s">
        <v>513</v>
      </c>
      <c r="I210" s="27" t="s">
        <v>516</v>
      </c>
      <c r="J210" s="27" t="s">
        <v>516</v>
      </c>
      <c r="K210" s="27" t="s">
        <v>529</v>
      </c>
      <c r="L210" s="27" t="s">
        <v>539</v>
      </c>
      <c r="M210" s="30">
        <v>42445</v>
      </c>
      <c r="N210" s="30"/>
      <c r="O210" s="30"/>
      <c r="P210" s="27" t="s">
        <v>105</v>
      </c>
      <c r="Q210" s="32">
        <v>1</v>
      </c>
      <c r="R210" s="32">
        <v>14.988900462963</v>
      </c>
      <c r="S210" s="32">
        <v>65.600520833333306</v>
      </c>
      <c r="T210" s="32">
        <v>0</v>
      </c>
      <c r="U210" s="32">
        <v>1</v>
      </c>
      <c r="V210" s="32">
        <v>14.9885532407407</v>
      </c>
      <c r="W210" s="32">
        <v>56</v>
      </c>
      <c r="X210" s="32">
        <v>14</v>
      </c>
      <c r="Y210" s="32">
        <v>14</v>
      </c>
      <c r="Z210" s="32">
        <v>0</v>
      </c>
      <c r="AA210" s="32">
        <v>1</v>
      </c>
      <c r="AC210" s="29"/>
    </row>
    <row r="211" spans="1:29" x14ac:dyDescent="0.25">
      <c r="A211" s="28" t="s">
        <v>421</v>
      </c>
      <c r="B211" s="28" t="s">
        <v>14</v>
      </c>
      <c r="C211" s="28" t="s">
        <v>13</v>
      </c>
      <c r="D211" s="28" t="s">
        <v>154</v>
      </c>
      <c r="E211" s="28" t="s">
        <v>21</v>
      </c>
      <c r="F211" s="28" t="s">
        <v>506</v>
      </c>
      <c r="G211" s="28" t="s">
        <v>511</v>
      </c>
      <c r="H211" s="28" t="s">
        <v>513</v>
      </c>
      <c r="I211" s="28" t="s">
        <v>516</v>
      </c>
      <c r="J211" s="28" t="s">
        <v>516</v>
      </c>
      <c r="K211" s="28" t="s">
        <v>529</v>
      </c>
      <c r="L211" s="28" t="s">
        <v>539</v>
      </c>
      <c r="M211" s="31">
        <v>42445</v>
      </c>
      <c r="N211" s="31"/>
      <c r="O211" s="31"/>
      <c r="P211" s="28" t="s">
        <v>105</v>
      </c>
      <c r="Q211" s="33">
        <v>1</v>
      </c>
      <c r="R211" s="33">
        <v>14.9825231481482</v>
      </c>
      <c r="S211" s="33">
        <v>65.590937499999995</v>
      </c>
      <c r="T211" s="33">
        <v>0</v>
      </c>
      <c r="U211" s="33">
        <v>1</v>
      </c>
      <c r="V211" s="33">
        <v>14.981921296296299</v>
      </c>
      <c r="W211" s="33">
        <v>56</v>
      </c>
      <c r="X211" s="33">
        <v>13.5</v>
      </c>
      <c r="Y211" s="33">
        <v>13.5</v>
      </c>
      <c r="Z211" s="33">
        <v>0</v>
      </c>
      <c r="AA211" s="33">
        <v>1</v>
      </c>
      <c r="AC211" s="29"/>
    </row>
    <row r="212" spans="1:29" x14ac:dyDescent="0.25">
      <c r="A212" s="27" t="s">
        <v>422</v>
      </c>
      <c r="B212" s="27" t="s">
        <v>14</v>
      </c>
      <c r="C212" s="27" t="s">
        <v>13</v>
      </c>
      <c r="D212" s="27" t="s">
        <v>154</v>
      </c>
      <c r="E212" s="27" t="s">
        <v>21</v>
      </c>
      <c r="F212" s="27" t="s">
        <v>506</v>
      </c>
      <c r="G212" s="27" t="s">
        <v>511</v>
      </c>
      <c r="H212" s="27" t="s">
        <v>513</v>
      </c>
      <c r="I212" s="27" t="s">
        <v>517</v>
      </c>
      <c r="J212" s="27" t="s">
        <v>523</v>
      </c>
      <c r="K212" s="27" t="s">
        <v>529</v>
      </c>
      <c r="L212" s="27" t="s">
        <v>539</v>
      </c>
      <c r="M212" s="30">
        <v>42446</v>
      </c>
      <c r="N212" s="30">
        <v>42446</v>
      </c>
      <c r="O212" s="30">
        <v>42451</v>
      </c>
      <c r="P212" s="27" t="s">
        <v>98</v>
      </c>
      <c r="Q212" s="32">
        <v>1</v>
      </c>
      <c r="R212" s="32">
        <v>5.0111689814814797</v>
      </c>
      <c r="S212" s="32">
        <v>5.0113888888888898</v>
      </c>
      <c r="T212" s="32">
        <v>1</v>
      </c>
      <c r="U212" s="32">
        <v>1</v>
      </c>
      <c r="V212" s="32">
        <v>5.0104513888888897</v>
      </c>
      <c r="W212" s="32">
        <v>56</v>
      </c>
      <c r="X212" s="32">
        <v>13.5</v>
      </c>
      <c r="Y212" s="32">
        <v>1.5</v>
      </c>
      <c r="Z212" s="32">
        <v>12</v>
      </c>
      <c r="AA212" s="32">
        <v>1</v>
      </c>
      <c r="AC212" s="29"/>
    </row>
    <row r="213" spans="1:29" x14ac:dyDescent="0.25">
      <c r="A213" s="28" t="s">
        <v>423</v>
      </c>
      <c r="B213" s="28" t="s">
        <v>14</v>
      </c>
      <c r="C213" s="28" t="s">
        <v>16</v>
      </c>
      <c r="D213" s="28" t="s">
        <v>154</v>
      </c>
      <c r="E213" s="28" t="s">
        <v>21</v>
      </c>
      <c r="F213" s="28" t="s">
        <v>505</v>
      </c>
      <c r="G213" s="28" t="s">
        <v>156</v>
      </c>
      <c r="H213" s="28" t="s">
        <v>513</v>
      </c>
      <c r="I213" s="28" t="s">
        <v>517</v>
      </c>
      <c r="J213" s="28" t="s">
        <v>523</v>
      </c>
      <c r="K213" s="28" t="s">
        <v>529</v>
      </c>
      <c r="L213" s="28" t="s">
        <v>539</v>
      </c>
      <c r="M213" s="31">
        <v>42450</v>
      </c>
      <c r="N213" s="31">
        <v>42450</v>
      </c>
      <c r="O213" s="31">
        <v>42453</v>
      </c>
      <c r="P213" s="28" t="s">
        <v>104</v>
      </c>
      <c r="Q213" s="33">
        <v>1</v>
      </c>
      <c r="R213" s="33">
        <v>3.1341666666666699</v>
      </c>
      <c r="S213" s="33">
        <v>10.184224537037</v>
      </c>
      <c r="T213" s="33">
        <v>1</v>
      </c>
      <c r="U213" s="33">
        <v>1</v>
      </c>
      <c r="V213" s="33">
        <v>3.1132638888888899</v>
      </c>
      <c r="W213" s="33">
        <v>28</v>
      </c>
      <c r="X213" s="33">
        <v>12.3333333333333</v>
      </c>
      <c r="Y213" s="33">
        <v>10.3333333333333</v>
      </c>
      <c r="Z213" s="33">
        <v>2</v>
      </c>
      <c r="AA213" s="33">
        <v>1</v>
      </c>
      <c r="AC213" s="29"/>
    </row>
    <row r="214" spans="1:29" x14ac:dyDescent="0.25">
      <c r="A214" s="27" t="s">
        <v>424</v>
      </c>
      <c r="B214" s="27" t="s">
        <v>14</v>
      </c>
      <c r="C214" s="27" t="s">
        <v>16</v>
      </c>
      <c r="D214" s="27" t="s">
        <v>154</v>
      </c>
      <c r="E214" s="27" t="s">
        <v>21</v>
      </c>
      <c r="F214" s="27" t="s">
        <v>506</v>
      </c>
      <c r="G214" s="27" t="s">
        <v>510</v>
      </c>
      <c r="H214" s="27" t="s">
        <v>513</v>
      </c>
      <c r="I214" s="27" t="s">
        <v>516</v>
      </c>
      <c r="J214" s="27" t="s">
        <v>516</v>
      </c>
      <c r="K214" s="27" t="s">
        <v>529</v>
      </c>
      <c r="L214" s="27" t="s">
        <v>539</v>
      </c>
      <c r="M214" s="30">
        <v>42450</v>
      </c>
      <c r="N214" s="30"/>
      <c r="O214" s="30"/>
      <c r="P214" s="27" t="s">
        <v>99</v>
      </c>
      <c r="Q214" s="32">
        <v>1</v>
      </c>
      <c r="R214" s="32">
        <v>20.9905324074074</v>
      </c>
      <c r="S214" s="32">
        <v>20.991006944444401</v>
      </c>
      <c r="T214" s="32">
        <v>0</v>
      </c>
      <c r="U214" s="32">
        <v>1</v>
      </c>
      <c r="V214" s="32">
        <v>20.976817129629602</v>
      </c>
      <c r="W214" s="32">
        <v>28</v>
      </c>
      <c r="X214" s="32">
        <v>9</v>
      </c>
      <c r="Y214" s="32">
        <v>9</v>
      </c>
      <c r="Z214" s="32">
        <v>0</v>
      </c>
      <c r="AA214" s="32">
        <v>1</v>
      </c>
      <c r="AC214" s="29"/>
    </row>
    <row r="215" spans="1:29" x14ac:dyDescent="0.25">
      <c r="A215" s="28" t="s">
        <v>425</v>
      </c>
      <c r="B215" s="28" t="s">
        <v>14</v>
      </c>
      <c r="C215" s="28" t="s">
        <v>13</v>
      </c>
      <c r="D215" s="28" t="s">
        <v>154</v>
      </c>
      <c r="E215" s="28" t="s">
        <v>21</v>
      </c>
      <c r="F215" s="28" t="s">
        <v>505</v>
      </c>
      <c r="G215" s="28" t="s">
        <v>512</v>
      </c>
      <c r="H215" s="28" t="s">
        <v>513</v>
      </c>
      <c r="I215" s="28" t="s">
        <v>516</v>
      </c>
      <c r="J215" s="28" t="s">
        <v>516</v>
      </c>
      <c r="K215" s="28" t="s">
        <v>529</v>
      </c>
      <c r="L215" s="28" t="s">
        <v>539</v>
      </c>
      <c r="M215" s="31">
        <v>42451</v>
      </c>
      <c r="N215" s="31"/>
      <c r="O215" s="31"/>
      <c r="P215" s="28" t="s">
        <v>105</v>
      </c>
      <c r="Q215" s="33">
        <v>1</v>
      </c>
      <c r="R215" s="33">
        <v>9.09739583333333</v>
      </c>
      <c r="S215" s="33">
        <v>64.097442129629599</v>
      </c>
      <c r="T215" s="33">
        <v>0</v>
      </c>
      <c r="U215" s="33">
        <v>1</v>
      </c>
      <c r="V215" s="33">
        <v>9.0971064814814806</v>
      </c>
      <c r="W215" s="33">
        <v>56</v>
      </c>
      <c r="X215" s="33">
        <v>10.5</v>
      </c>
      <c r="Y215" s="33">
        <v>10.5</v>
      </c>
      <c r="Z215" s="33">
        <v>0</v>
      </c>
      <c r="AA215" s="33">
        <v>1</v>
      </c>
      <c r="AC215" s="29"/>
    </row>
    <row r="216" spans="1:29" x14ac:dyDescent="0.25">
      <c r="A216" s="27" t="s">
        <v>426</v>
      </c>
      <c r="B216" s="27" t="s">
        <v>14</v>
      </c>
      <c r="C216" s="27" t="s">
        <v>13</v>
      </c>
      <c r="D216" s="27" t="s">
        <v>154</v>
      </c>
      <c r="E216" s="27" t="s">
        <v>21</v>
      </c>
      <c r="F216" s="27" t="s">
        <v>505</v>
      </c>
      <c r="G216" s="27" t="s">
        <v>512</v>
      </c>
      <c r="H216" s="27" t="s">
        <v>513</v>
      </c>
      <c r="I216" s="27" t="s">
        <v>516</v>
      </c>
      <c r="J216" s="27" t="s">
        <v>516</v>
      </c>
      <c r="K216" s="27" t="s">
        <v>529</v>
      </c>
      <c r="L216" s="27" t="s">
        <v>539</v>
      </c>
      <c r="M216" s="30">
        <v>42451</v>
      </c>
      <c r="N216" s="30"/>
      <c r="O216" s="30"/>
      <c r="P216" s="27" t="s">
        <v>105</v>
      </c>
      <c r="Q216" s="32">
        <v>1</v>
      </c>
      <c r="R216" s="32">
        <v>9.0905208333333292</v>
      </c>
      <c r="S216" s="32">
        <v>64.094108796296297</v>
      </c>
      <c r="T216" s="32">
        <v>0</v>
      </c>
      <c r="U216" s="32">
        <v>1</v>
      </c>
      <c r="V216" s="32">
        <v>9.0900578703703694</v>
      </c>
      <c r="W216" s="32">
        <v>56</v>
      </c>
      <c r="X216" s="32">
        <v>13</v>
      </c>
      <c r="Y216" s="32">
        <v>13</v>
      </c>
      <c r="Z216" s="32">
        <v>0</v>
      </c>
      <c r="AA216" s="32">
        <v>1</v>
      </c>
      <c r="AC216" s="29"/>
    </row>
    <row r="217" spans="1:29" x14ac:dyDescent="0.25">
      <c r="A217" s="28" t="s">
        <v>427</v>
      </c>
      <c r="B217" s="28" t="s">
        <v>14</v>
      </c>
      <c r="C217" s="28" t="s">
        <v>13</v>
      </c>
      <c r="D217" s="28" t="s">
        <v>154</v>
      </c>
      <c r="E217" s="28" t="s">
        <v>21</v>
      </c>
      <c r="F217" s="28" t="s">
        <v>505</v>
      </c>
      <c r="G217" s="28" t="s">
        <v>512</v>
      </c>
      <c r="H217" s="28" t="s">
        <v>513</v>
      </c>
      <c r="I217" s="28" t="s">
        <v>516</v>
      </c>
      <c r="J217" s="28" t="s">
        <v>516</v>
      </c>
      <c r="K217" s="28" t="s">
        <v>529</v>
      </c>
      <c r="L217" s="28" t="s">
        <v>539</v>
      </c>
      <c r="M217" s="31">
        <v>42452</v>
      </c>
      <c r="N217" s="31"/>
      <c r="O217" s="31"/>
      <c r="P217" s="28" t="s">
        <v>105</v>
      </c>
      <c r="Q217" s="33">
        <v>1</v>
      </c>
      <c r="R217" s="33">
        <v>31.086435185185199</v>
      </c>
      <c r="S217" s="33">
        <v>42.030821759259297</v>
      </c>
      <c r="T217" s="33">
        <v>0</v>
      </c>
      <c r="U217" s="33">
        <v>1</v>
      </c>
      <c r="V217" s="33">
        <v>31.086157407407399</v>
      </c>
      <c r="W217" s="33">
        <v>56</v>
      </c>
      <c r="X217" s="33">
        <v>9</v>
      </c>
      <c r="Y217" s="33">
        <v>9</v>
      </c>
      <c r="Z217" s="33">
        <v>0</v>
      </c>
      <c r="AA217" s="33">
        <v>1</v>
      </c>
      <c r="AC217" s="29"/>
    </row>
    <row r="218" spans="1:29" x14ac:dyDescent="0.25">
      <c r="A218" s="27" t="s">
        <v>428</v>
      </c>
      <c r="B218" s="27" t="s">
        <v>14</v>
      </c>
      <c r="C218" s="27" t="s">
        <v>16</v>
      </c>
      <c r="D218" s="27" t="s">
        <v>154</v>
      </c>
      <c r="E218" s="27" t="s">
        <v>21</v>
      </c>
      <c r="F218" s="27" t="s">
        <v>505</v>
      </c>
      <c r="G218" s="27" t="s">
        <v>512</v>
      </c>
      <c r="H218" s="27" t="s">
        <v>513</v>
      </c>
      <c r="I218" s="27" t="s">
        <v>517</v>
      </c>
      <c r="J218" s="27" t="s">
        <v>523</v>
      </c>
      <c r="K218" s="27" t="s">
        <v>529</v>
      </c>
      <c r="L218" s="27" t="s">
        <v>539</v>
      </c>
      <c r="M218" s="30">
        <v>42453</v>
      </c>
      <c r="N218" s="30">
        <v>42453</v>
      </c>
      <c r="O218" s="30">
        <v>42454</v>
      </c>
      <c r="P218" s="27" t="s">
        <v>104</v>
      </c>
      <c r="Q218" s="32">
        <v>1</v>
      </c>
      <c r="R218" s="32">
        <v>1.47510416666667</v>
      </c>
      <c r="S218" s="32">
        <v>1.4881712962963001</v>
      </c>
      <c r="T218" s="32">
        <v>1</v>
      </c>
      <c r="U218" s="32">
        <v>1</v>
      </c>
      <c r="V218" s="32">
        <v>1.36876157407407</v>
      </c>
      <c r="W218" s="32">
        <v>28</v>
      </c>
      <c r="X218" s="32">
        <v>9.5</v>
      </c>
      <c r="Y218" s="32">
        <v>4.5</v>
      </c>
      <c r="Z218" s="32">
        <v>5</v>
      </c>
      <c r="AA218" s="32">
        <v>1</v>
      </c>
      <c r="AC218" s="29"/>
    </row>
    <row r="219" spans="1:29" x14ac:dyDescent="0.25">
      <c r="A219" s="28" t="s">
        <v>429</v>
      </c>
      <c r="B219" s="28" t="s">
        <v>19</v>
      </c>
      <c r="C219" s="28" t="s">
        <v>13</v>
      </c>
      <c r="D219" s="28" t="s">
        <v>154</v>
      </c>
      <c r="E219" s="28" t="s">
        <v>21</v>
      </c>
      <c r="F219" s="28" t="s">
        <v>505</v>
      </c>
      <c r="G219" s="28" t="s">
        <v>156</v>
      </c>
      <c r="H219" s="28" t="s">
        <v>513</v>
      </c>
      <c r="I219" s="28" t="s">
        <v>517</v>
      </c>
      <c r="J219" s="28" t="s">
        <v>523</v>
      </c>
      <c r="K219" s="28" t="s">
        <v>529</v>
      </c>
      <c r="L219" s="28" t="s">
        <v>539</v>
      </c>
      <c r="M219" s="31">
        <v>42454</v>
      </c>
      <c r="N219" s="31">
        <v>42454</v>
      </c>
      <c r="O219" s="31">
        <v>42468</v>
      </c>
      <c r="P219" s="28" t="s">
        <v>98</v>
      </c>
      <c r="Q219" s="33">
        <v>1</v>
      </c>
      <c r="R219" s="33">
        <v>14.115520833333299</v>
      </c>
      <c r="S219" s="33">
        <v>20.226863425925899</v>
      </c>
      <c r="T219" s="33">
        <v>1</v>
      </c>
      <c r="U219" s="33">
        <v>1</v>
      </c>
      <c r="V219" s="33">
        <v>14.115185185185201</v>
      </c>
      <c r="W219" s="33">
        <v>56</v>
      </c>
      <c r="X219" s="33">
        <v>9.75</v>
      </c>
      <c r="Y219" s="33">
        <v>0.75</v>
      </c>
      <c r="Z219" s="33">
        <v>9</v>
      </c>
      <c r="AA219" s="33">
        <v>1</v>
      </c>
      <c r="AC219" s="29"/>
    </row>
    <row r="220" spans="1:29" x14ac:dyDescent="0.25">
      <c r="A220" s="27" t="s">
        <v>430</v>
      </c>
      <c r="B220" s="27" t="s">
        <v>19</v>
      </c>
      <c r="C220" s="27" t="s">
        <v>13</v>
      </c>
      <c r="D220" s="27" t="s">
        <v>154</v>
      </c>
      <c r="E220" s="27" t="s">
        <v>21</v>
      </c>
      <c r="F220" s="27" t="s">
        <v>505</v>
      </c>
      <c r="G220" s="27" t="s">
        <v>156</v>
      </c>
      <c r="H220" s="27" t="s">
        <v>513</v>
      </c>
      <c r="I220" s="27" t="s">
        <v>517</v>
      </c>
      <c r="J220" s="27" t="s">
        <v>523</v>
      </c>
      <c r="K220" s="27" t="s">
        <v>529</v>
      </c>
      <c r="L220" s="27" t="s">
        <v>539</v>
      </c>
      <c r="M220" s="30">
        <v>42454</v>
      </c>
      <c r="N220" s="30">
        <v>42454</v>
      </c>
      <c r="O220" s="30">
        <v>42468</v>
      </c>
      <c r="P220" s="27" t="s">
        <v>98</v>
      </c>
      <c r="Q220" s="32">
        <v>1</v>
      </c>
      <c r="R220" s="32">
        <v>14.098472222222201</v>
      </c>
      <c r="S220" s="32">
        <v>20.219432870370401</v>
      </c>
      <c r="T220" s="32">
        <v>1</v>
      </c>
      <c r="U220" s="32">
        <v>1</v>
      </c>
      <c r="V220" s="32">
        <v>14.0981481481482</v>
      </c>
      <c r="W220" s="32">
        <v>56</v>
      </c>
      <c r="X220" s="32">
        <v>6.75</v>
      </c>
      <c r="Y220" s="32">
        <v>0.75</v>
      </c>
      <c r="Z220" s="32">
        <v>6</v>
      </c>
      <c r="AA220" s="32">
        <v>1</v>
      </c>
      <c r="AC220" s="29"/>
    </row>
    <row r="221" spans="1:29" x14ac:dyDescent="0.25">
      <c r="A221" s="28" t="s">
        <v>431</v>
      </c>
      <c r="B221" s="28" t="s">
        <v>19</v>
      </c>
      <c r="C221" s="28" t="s">
        <v>13</v>
      </c>
      <c r="D221" s="28" t="s">
        <v>154</v>
      </c>
      <c r="E221" s="28" t="s">
        <v>21</v>
      </c>
      <c r="F221" s="28" t="s">
        <v>505</v>
      </c>
      <c r="G221" s="28" t="s">
        <v>156</v>
      </c>
      <c r="H221" s="28" t="s">
        <v>513</v>
      </c>
      <c r="I221" s="28" t="s">
        <v>517</v>
      </c>
      <c r="J221" s="28" t="s">
        <v>523</v>
      </c>
      <c r="K221" s="28" t="s">
        <v>529</v>
      </c>
      <c r="L221" s="28" t="s">
        <v>539</v>
      </c>
      <c r="M221" s="31">
        <v>42454</v>
      </c>
      <c r="N221" s="31">
        <v>42454</v>
      </c>
      <c r="O221" s="31">
        <v>42468</v>
      </c>
      <c r="P221" s="28" t="s">
        <v>98</v>
      </c>
      <c r="Q221" s="33">
        <v>1</v>
      </c>
      <c r="R221" s="33">
        <v>14.0894328703704</v>
      </c>
      <c r="S221" s="33">
        <v>20.215451388888901</v>
      </c>
      <c r="T221" s="33">
        <v>1</v>
      </c>
      <c r="U221" s="33">
        <v>1</v>
      </c>
      <c r="V221" s="33">
        <v>14.089178240740701</v>
      </c>
      <c r="W221" s="33">
        <v>56</v>
      </c>
      <c r="X221" s="33">
        <v>12.5</v>
      </c>
      <c r="Y221" s="33">
        <v>0.5</v>
      </c>
      <c r="Z221" s="33">
        <v>12</v>
      </c>
      <c r="AA221" s="33">
        <v>1</v>
      </c>
      <c r="AC221" s="29"/>
    </row>
    <row r="222" spans="1:29" x14ac:dyDescent="0.25">
      <c r="A222" s="27" t="s">
        <v>432</v>
      </c>
      <c r="B222" s="27" t="s">
        <v>19</v>
      </c>
      <c r="C222" s="27" t="s">
        <v>13</v>
      </c>
      <c r="D222" s="27" t="s">
        <v>154</v>
      </c>
      <c r="E222" s="27" t="s">
        <v>21</v>
      </c>
      <c r="F222" s="27" t="s">
        <v>505</v>
      </c>
      <c r="G222" s="27" t="s">
        <v>156</v>
      </c>
      <c r="H222" s="27" t="s">
        <v>513</v>
      </c>
      <c r="I222" s="27" t="s">
        <v>517</v>
      </c>
      <c r="J222" s="27" t="s">
        <v>523</v>
      </c>
      <c r="K222" s="27" t="s">
        <v>529</v>
      </c>
      <c r="L222" s="27" t="s">
        <v>539</v>
      </c>
      <c r="M222" s="30">
        <v>42454</v>
      </c>
      <c r="N222" s="30">
        <v>42454</v>
      </c>
      <c r="O222" s="30">
        <v>42468</v>
      </c>
      <c r="P222" s="27" t="s">
        <v>98</v>
      </c>
      <c r="Q222" s="32">
        <v>1</v>
      </c>
      <c r="R222" s="32">
        <v>14.0588888888889</v>
      </c>
      <c r="S222" s="32">
        <v>20.212060185185202</v>
      </c>
      <c r="T222" s="32">
        <v>1</v>
      </c>
      <c r="U222" s="32">
        <v>1</v>
      </c>
      <c r="V222" s="32">
        <v>14.058425925925899</v>
      </c>
      <c r="W222" s="32">
        <v>56</v>
      </c>
      <c r="X222" s="32">
        <v>12</v>
      </c>
      <c r="Y222" s="32">
        <v>0</v>
      </c>
      <c r="Z222" s="32">
        <v>12</v>
      </c>
      <c r="AA222" s="32">
        <v>1</v>
      </c>
      <c r="AC222" s="29"/>
    </row>
    <row r="223" spans="1:29" x14ac:dyDescent="0.25">
      <c r="A223" s="28" t="s">
        <v>433</v>
      </c>
      <c r="B223" s="28" t="s">
        <v>14</v>
      </c>
      <c r="C223" s="28" t="s">
        <v>13</v>
      </c>
      <c r="D223" s="28" t="s">
        <v>154</v>
      </c>
      <c r="E223" s="28" t="s">
        <v>21</v>
      </c>
      <c r="F223" s="28" t="s">
        <v>505</v>
      </c>
      <c r="G223" s="28" t="s">
        <v>156</v>
      </c>
      <c r="H223" s="28" t="s">
        <v>513</v>
      </c>
      <c r="I223" s="28" t="s">
        <v>517</v>
      </c>
      <c r="J223" s="28" t="s">
        <v>523</v>
      </c>
      <c r="K223" s="28" t="s">
        <v>529</v>
      </c>
      <c r="L223" s="28" t="s">
        <v>539</v>
      </c>
      <c r="M223" s="31">
        <v>42454</v>
      </c>
      <c r="N223" s="31">
        <v>42454</v>
      </c>
      <c r="O223" s="31">
        <v>42468</v>
      </c>
      <c r="P223" s="28" t="s">
        <v>98</v>
      </c>
      <c r="Q223" s="33">
        <v>1</v>
      </c>
      <c r="R223" s="33">
        <v>14.0473032407407</v>
      </c>
      <c r="S223" s="33">
        <v>20.204178240740699</v>
      </c>
      <c r="T223" s="33">
        <v>1</v>
      </c>
      <c r="U223" s="33">
        <v>1</v>
      </c>
      <c r="V223" s="33">
        <v>14.0469560185185</v>
      </c>
      <c r="W223" s="33">
        <v>56</v>
      </c>
      <c r="X223" s="33">
        <v>18</v>
      </c>
      <c r="Y223" s="33">
        <v>0</v>
      </c>
      <c r="Z223" s="33">
        <v>18</v>
      </c>
      <c r="AA223" s="33">
        <v>1</v>
      </c>
      <c r="AC223" s="29"/>
    </row>
    <row r="224" spans="1:29" x14ac:dyDescent="0.25">
      <c r="A224" s="27" t="s">
        <v>434</v>
      </c>
      <c r="B224" s="27" t="s">
        <v>19</v>
      </c>
      <c r="C224" s="27" t="s">
        <v>13</v>
      </c>
      <c r="D224" s="27" t="s">
        <v>154</v>
      </c>
      <c r="E224" s="27" t="s">
        <v>21</v>
      </c>
      <c r="F224" s="27" t="s">
        <v>505</v>
      </c>
      <c r="G224" s="27" t="s">
        <v>156</v>
      </c>
      <c r="H224" s="27" t="s">
        <v>513</v>
      </c>
      <c r="I224" s="27" t="s">
        <v>517</v>
      </c>
      <c r="J224" s="27" t="s">
        <v>523</v>
      </c>
      <c r="K224" s="27" t="s">
        <v>529</v>
      </c>
      <c r="L224" s="27" t="s">
        <v>539</v>
      </c>
      <c r="M224" s="30">
        <v>42454</v>
      </c>
      <c r="N224" s="30">
        <v>42454</v>
      </c>
      <c r="O224" s="30">
        <v>42460</v>
      </c>
      <c r="P224" s="27" t="s">
        <v>98</v>
      </c>
      <c r="Q224" s="32">
        <v>1</v>
      </c>
      <c r="R224" s="32">
        <v>14.045787037037</v>
      </c>
      <c r="S224" s="32">
        <v>20.199884259259299</v>
      </c>
      <c r="T224" s="32">
        <v>1</v>
      </c>
      <c r="U224" s="32">
        <v>1</v>
      </c>
      <c r="V224" s="32">
        <v>14.039837962963</v>
      </c>
      <c r="W224" s="32">
        <v>56</v>
      </c>
      <c r="X224" s="32">
        <v>18.5</v>
      </c>
      <c r="Y224" s="32">
        <v>0.5</v>
      </c>
      <c r="Z224" s="32">
        <v>18</v>
      </c>
      <c r="AA224" s="32">
        <v>1</v>
      </c>
      <c r="AC224" s="29"/>
    </row>
    <row r="225" spans="1:29" x14ac:dyDescent="0.25">
      <c r="A225" s="28" t="s">
        <v>435</v>
      </c>
      <c r="B225" s="28" t="s">
        <v>14</v>
      </c>
      <c r="C225" s="28" t="s">
        <v>13</v>
      </c>
      <c r="D225" s="28" t="s">
        <v>154</v>
      </c>
      <c r="E225" s="28" t="s">
        <v>21</v>
      </c>
      <c r="F225" s="28" t="s">
        <v>505</v>
      </c>
      <c r="G225" s="28" t="s">
        <v>156</v>
      </c>
      <c r="H225" s="28" t="s">
        <v>513</v>
      </c>
      <c r="I225" s="28" t="s">
        <v>516</v>
      </c>
      <c r="J225" s="28" t="s">
        <v>516</v>
      </c>
      <c r="K225" s="28" t="s">
        <v>529</v>
      </c>
      <c r="L225" s="28" t="s">
        <v>539</v>
      </c>
      <c r="M225" s="31">
        <v>42457</v>
      </c>
      <c r="N225" s="31"/>
      <c r="O225" s="31"/>
      <c r="P225" s="28" t="s">
        <v>100</v>
      </c>
      <c r="Q225" s="33">
        <v>1</v>
      </c>
      <c r="R225" s="33">
        <v>0.170011574074074</v>
      </c>
      <c r="S225" s="33">
        <v>0.17153935185185201</v>
      </c>
      <c r="T225" s="33">
        <v>0</v>
      </c>
      <c r="U225" s="33">
        <v>1</v>
      </c>
      <c r="V225" s="33">
        <v>0.169780092592593</v>
      </c>
      <c r="W225" s="33">
        <v>56</v>
      </c>
      <c r="X225" s="33">
        <v>1</v>
      </c>
      <c r="Y225" s="33">
        <v>1</v>
      </c>
      <c r="Z225" s="33">
        <v>0</v>
      </c>
      <c r="AA225" s="33">
        <v>1</v>
      </c>
      <c r="AC225" s="29"/>
    </row>
    <row r="226" spans="1:29" x14ac:dyDescent="0.25">
      <c r="A226" s="27" t="s">
        <v>436</v>
      </c>
      <c r="B226" s="27" t="s">
        <v>14</v>
      </c>
      <c r="C226" s="27" t="s">
        <v>13</v>
      </c>
      <c r="D226" s="27" t="s">
        <v>154</v>
      </c>
      <c r="E226" s="27" t="s">
        <v>21</v>
      </c>
      <c r="F226" s="27" t="s">
        <v>505</v>
      </c>
      <c r="G226" s="27" t="s">
        <v>512</v>
      </c>
      <c r="H226" s="27" t="s">
        <v>513</v>
      </c>
      <c r="I226" s="27" t="s">
        <v>516</v>
      </c>
      <c r="J226" s="27" t="s">
        <v>516</v>
      </c>
      <c r="K226" s="27" t="s">
        <v>529</v>
      </c>
      <c r="L226" s="27" t="s">
        <v>539</v>
      </c>
      <c r="M226" s="30">
        <v>42460</v>
      </c>
      <c r="N226" s="30"/>
      <c r="O226" s="30"/>
      <c r="P226" s="27" t="s">
        <v>109</v>
      </c>
      <c r="Q226" s="32">
        <v>1</v>
      </c>
      <c r="R226" s="32">
        <v>1.3279745370370399</v>
      </c>
      <c r="S226" s="32">
        <v>35.955428240740702</v>
      </c>
      <c r="T226" s="32">
        <v>0</v>
      </c>
      <c r="U226" s="32">
        <v>1</v>
      </c>
      <c r="V226" s="32">
        <v>1.3277083333333299</v>
      </c>
      <c r="W226" s="32">
        <v>56</v>
      </c>
      <c r="X226" s="32">
        <v>14</v>
      </c>
      <c r="Y226" s="32">
        <v>14</v>
      </c>
      <c r="Z226" s="32">
        <v>0</v>
      </c>
      <c r="AA226" s="32">
        <v>1</v>
      </c>
      <c r="AC226" s="29"/>
    </row>
    <row r="227" spans="1:29" x14ac:dyDescent="0.25">
      <c r="A227" s="28" t="s">
        <v>437</v>
      </c>
      <c r="B227" s="28" t="s">
        <v>14</v>
      </c>
      <c r="C227" s="28" t="s">
        <v>13</v>
      </c>
      <c r="D227" s="28" t="s">
        <v>154</v>
      </c>
      <c r="E227" s="28" t="s">
        <v>21</v>
      </c>
      <c r="F227" s="28" t="s">
        <v>506</v>
      </c>
      <c r="G227" s="28" t="s">
        <v>511</v>
      </c>
      <c r="H227" s="28" t="s">
        <v>513</v>
      </c>
      <c r="I227" s="28" t="s">
        <v>516</v>
      </c>
      <c r="J227" s="28" t="s">
        <v>516</v>
      </c>
      <c r="K227" s="28" t="s">
        <v>529</v>
      </c>
      <c r="L227" s="28" t="s">
        <v>539</v>
      </c>
      <c r="M227" s="31">
        <v>42461</v>
      </c>
      <c r="N227" s="31"/>
      <c r="O227" s="31"/>
      <c r="P227" s="28" t="s">
        <v>102</v>
      </c>
      <c r="Q227" s="33">
        <v>1</v>
      </c>
      <c r="R227" s="33">
        <v>20.0666087962963</v>
      </c>
      <c r="S227" s="33">
        <v>53.024039351851897</v>
      </c>
      <c r="T227" s="33">
        <v>0</v>
      </c>
      <c r="U227" s="33">
        <v>1</v>
      </c>
      <c r="V227" s="33">
        <v>20.066307870370402</v>
      </c>
      <c r="W227" s="33">
        <v>56</v>
      </c>
      <c r="X227" s="33">
        <v>24</v>
      </c>
      <c r="Y227" s="33">
        <v>24</v>
      </c>
      <c r="Z227" s="33">
        <v>0</v>
      </c>
      <c r="AA227" s="33">
        <v>1</v>
      </c>
      <c r="AC227" s="29"/>
    </row>
    <row r="228" spans="1:29" x14ac:dyDescent="0.25">
      <c r="A228" s="27" t="s">
        <v>438</v>
      </c>
      <c r="B228" s="27" t="s">
        <v>14</v>
      </c>
      <c r="C228" s="27" t="s">
        <v>13</v>
      </c>
      <c r="D228" s="27" t="s">
        <v>154</v>
      </c>
      <c r="E228" s="27" t="s">
        <v>21</v>
      </c>
      <c r="F228" s="27" t="s">
        <v>506</v>
      </c>
      <c r="G228" s="27" t="s">
        <v>511</v>
      </c>
      <c r="H228" s="27" t="s">
        <v>513</v>
      </c>
      <c r="I228" s="27" t="s">
        <v>516</v>
      </c>
      <c r="J228" s="27" t="s">
        <v>516</v>
      </c>
      <c r="K228" s="27" t="s">
        <v>529</v>
      </c>
      <c r="L228" s="27" t="s">
        <v>539</v>
      </c>
      <c r="M228" s="30">
        <v>42461</v>
      </c>
      <c r="N228" s="30"/>
      <c r="O228" s="30"/>
      <c r="P228" s="27" t="s">
        <v>105</v>
      </c>
      <c r="Q228" s="32">
        <v>1</v>
      </c>
      <c r="R228" s="32">
        <v>20.060231481481502</v>
      </c>
      <c r="S228" s="32">
        <v>53.973854166666698</v>
      </c>
      <c r="T228" s="32">
        <v>0</v>
      </c>
      <c r="U228" s="32">
        <v>1</v>
      </c>
      <c r="V228" s="32">
        <v>20.0599768518519</v>
      </c>
      <c r="W228" s="32">
        <v>56</v>
      </c>
      <c r="X228" s="32">
        <v>15.5</v>
      </c>
      <c r="Y228" s="32">
        <v>15.5</v>
      </c>
      <c r="Z228" s="32">
        <v>0</v>
      </c>
      <c r="AA228" s="32">
        <v>1</v>
      </c>
      <c r="AC228" s="29"/>
    </row>
    <row r="229" spans="1:29" x14ac:dyDescent="0.25">
      <c r="A229" s="28" t="s">
        <v>439</v>
      </c>
      <c r="B229" s="28" t="s">
        <v>14</v>
      </c>
      <c r="C229" s="28" t="s">
        <v>13</v>
      </c>
      <c r="D229" s="28" t="s">
        <v>154</v>
      </c>
      <c r="E229" s="28" t="s">
        <v>21</v>
      </c>
      <c r="F229" s="28" t="s">
        <v>506</v>
      </c>
      <c r="G229" s="28" t="s">
        <v>511</v>
      </c>
      <c r="H229" s="28" t="s">
        <v>513</v>
      </c>
      <c r="I229" s="28" t="s">
        <v>516</v>
      </c>
      <c r="J229" s="28" t="s">
        <v>516</v>
      </c>
      <c r="K229" s="28" t="s">
        <v>529</v>
      </c>
      <c r="L229" s="28" t="s">
        <v>539</v>
      </c>
      <c r="M229" s="31">
        <v>42461</v>
      </c>
      <c r="N229" s="31"/>
      <c r="O229" s="31"/>
      <c r="P229" s="28" t="s">
        <v>110</v>
      </c>
      <c r="Q229" s="33">
        <v>1</v>
      </c>
      <c r="R229" s="33">
        <v>20.055740740740699</v>
      </c>
      <c r="S229" s="33">
        <v>53.966863425925901</v>
      </c>
      <c r="T229" s="33">
        <v>0</v>
      </c>
      <c r="U229" s="33">
        <v>1</v>
      </c>
      <c r="V229" s="33">
        <v>20.055231481481499</v>
      </c>
      <c r="W229" s="33">
        <v>56</v>
      </c>
      <c r="X229" s="33">
        <v>14.5</v>
      </c>
      <c r="Y229" s="33">
        <v>14.5</v>
      </c>
      <c r="Z229" s="33">
        <v>0</v>
      </c>
      <c r="AA229" s="33">
        <v>1</v>
      </c>
      <c r="AC229" s="29"/>
    </row>
    <row r="230" spans="1:29" x14ac:dyDescent="0.25">
      <c r="A230" s="27" t="s">
        <v>440</v>
      </c>
      <c r="B230" s="27" t="s">
        <v>19</v>
      </c>
      <c r="C230" s="27" t="s">
        <v>13</v>
      </c>
      <c r="D230" s="27" t="s">
        <v>75</v>
      </c>
      <c r="E230" s="27" t="s">
        <v>28</v>
      </c>
      <c r="F230" s="27" t="s">
        <v>505</v>
      </c>
      <c r="G230" s="27" t="s">
        <v>509</v>
      </c>
      <c r="H230" s="27" t="s">
        <v>513</v>
      </c>
      <c r="I230" s="27" t="s">
        <v>517</v>
      </c>
      <c r="J230" s="27" t="s">
        <v>523</v>
      </c>
      <c r="K230" s="27" t="s">
        <v>529</v>
      </c>
      <c r="L230" s="27" t="s">
        <v>539</v>
      </c>
      <c r="M230" s="30">
        <v>42464</v>
      </c>
      <c r="N230" s="30">
        <v>42464</v>
      </c>
      <c r="O230" s="30">
        <v>42473</v>
      </c>
      <c r="P230" s="27" t="s">
        <v>108</v>
      </c>
      <c r="Q230" s="32">
        <v>1</v>
      </c>
      <c r="R230" s="32">
        <v>10.078391203703699</v>
      </c>
      <c r="S230" s="32">
        <v>10.0786226851852</v>
      </c>
      <c r="T230" s="32">
        <v>1</v>
      </c>
      <c r="U230" s="32">
        <v>1</v>
      </c>
      <c r="V230" s="32">
        <v>10.0776736111111</v>
      </c>
      <c r="W230" s="32">
        <v>45</v>
      </c>
      <c r="X230" s="32">
        <v>2</v>
      </c>
      <c r="Y230" s="32">
        <v>0</v>
      </c>
      <c r="Z230" s="32">
        <v>2</v>
      </c>
      <c r="AA230" s="32">
        <v>1</v>
      </c>
      <c r="AC230" s="29"/>
    </row>
    <row r="231" spans="1:29" x14ac:dyDescent="0.25">
      <c r="A231" s="28" t="s">
        <v>441</v>
      </c>
      <c r="B231" s="28" t="s">
        <v>19</v>
      </c>
      <c r="C231" s="28" t="s">
        <v>16</v>
      </c>
      <c r="D231" s="28" t="s">
        <v>75</v>
      </c>
      <c r="E231" s="28" t="s">
        <v>28</v>
      </c>
      <c r="F231" s="28" t="s">
        <v>506</v>
      </c>
      <c r="G231" s="28" t="s">
        <v>510</v>
      </c>
      <c r="H231" s="28" t="s">
        <v>513</v>
      </c>
      <c r="I231" s="28" t="s">
        <v>517</v>
      </c>
      <c r="J231" s="28" t="s">
        <v>523</v>
      </c>
      <c r="K231" s="28" t="s">
        <v>529</v>
      </c>
      <c r="L231" s="28" t="s">
        <v>539</v>
      </c>
      <c r="M231" s="31">
        <v>42465</v>
      </c>
      <c r="N231" s="31">
        <v>42465</v>
      </c>
      <c r="O231" s="31">
        <v>42481</v>
      </c>
      <c r="P231" s="28" t="s">
        <v>102</v>
      </c>
      <c r="Q231" s="33">
        <v>1</v>
      </c>
      <c r="R231" s="33">
        <v>16.9104282407407</v>
      </c>
      <c r="S231" s="33">
        <v>16.9105902777778</v>
      </c>
      <c r="T231" s="33">
        <v>1</v>
      </c>
      <c r="U231" s="33">
        <v>1</v>
      </c>
      <c r="V231" s="33">
        <v>16.909745370370398</v>
      </c>
      <c r="W231" s="33">
        <v>45</v>
      </c>
      <c r="X231" s="33">
        <v>20</v>
      </c>
      <c r="Y231" s="33">
        <v>0</v>
      </c>
      <c r="Z231" s="33">
        <v>20</v>
      </c>
      <c r="AA231" s="33">
        <v>1</v>
      </c>
      <c r="AC231" s="29"/>
    </row>
    <row r="232" spans="1:29" x14ac:dyDescent="0.25">
      <c r="A232" s="27" t="s">
        <v>442</v>
      </c>
      <c r="B232" s="27" t="s">
        <v>14</v>
      </c>
      <c r="C232" s="27" t="s">
        <v>13</v>
      </c>
      <c r="D232" s="27" t="s">
        <v>154</v>
      </c>
      <c r="E232" s="27" t="s">
        <v>21</v>
      </c>
      <c r="F232" s="27" t="s">
        <v>506</v>
      </c>
      <c r="G232" s="27" t="s">
        <v>510</v>
      </c>
      <c r="H232" s="27" t="s">
        <v>513</v>
      </c>
      <c r="I232" s="27" t="s">
        <v>516</v>
      </c>
      <c r="J232" s="27" t="s">
        <v>516</v>
      </c>
      <c r="K232" s="27" t="s">
        <v>529</v>
      </c>
      <c r="L232" s="27" t="s">
        <v>539</v>
      </c>
      <c r="M232" s="30">
        <v>42465</v>
      </c>
      <c r="N232" s="30"/>
      <c r="O232" s="30"/>
      <c r="P232" s="27" t="s">
        <v>110</v>
      </c>
      <c r="Q232" s="32">
        <v>1</v>
      </c>
      <c r="R232" s="32">
        <v>70.292430555555597</v>
      </c>
      <c r="S232" s="32">
        <v>70.292569444444396</v>
      </c>
      <c r="T232" s="32">
        <v>0</v>
      </c>
      <c r="U232" s="32">
        <v>1</v>
      </c>
      <c r="V232" s="32">
        <v>2.0555208333333299</v>
      </c>
      <c r="W232" s="32">
        <v>56</v>
      </c>
      <c r="X232" s="32">
        <v>22</v>
      </c>
      <c r="Y232" s="32">
        <v>22</v>
      </c>
      <c r="Z232" s="32">
        <v>0</v>
      </c>
      <c r="AA232" s="32">
        <v>1</v>
      </c>
      <c r="AC232" s="29"/>
    </row>
    <row r="233" spans="1:29" x14ac:dyDescent="0.25">
      <c r="A233" s="28" t="s">
        <v>443</v>
      </c>
      <c r="B233" s="28" t="s">
        <v>14</v>
      </c>
      <c r="C233" s="28" t="s">
        <v>16</v>
      </c>
      <c r="D233" s="28" t="s">
        <v>154</v>
      </c>
      <c r="E233" s="28" t="s">
        <v>21</v>
      </c>
      <c r="F233" s="28" t="s">
        <v>506</v>
      </c>
      <c r="G233" s="28" t="s">
        <v>511</v>
      </c>
      <c r="H233" s="28" t="s">
        <v>513</v>
      </c>
      <c r="I233" s="28" t="s">
        <v>517</v>
      </c>
      <c r="J233" s="28" t="s">
        <v>522</v>
      </c>
      <c r="K233" s="28" t="s">
        <v>529</v>
      </c>
      <c r="L233" s="28" t="s">
        <v>539</v>
      </c>
      <c r="M233" s="31">
        <v>42467</v>
      </c>
      <c r="N233" s="31">
        <v>42467</v>
      </c>
      <c r="O233" s="31">
        <v>42474</v>
      </c>
      <c r="P233" s="28" t="s">
        <v>115</v>
      </c>
      <c r="Q233" s="33">
        <v>1</v>
      </c>
      <c r="R233" s="33">
        <v>10.9248726851852</v>
      </c>
      <c r="S233" s="33">
        <v>10.9249537037037</v>
      </c>
      <c r="T233" s="33">
        <v>1</v>
      </c>
      <c r="U233" s="33">
        <v>1</v>
      </c>
      <c r="V233" s="33">
        <v>10.9244212962963</v>
      </c>
      <c r="W233" s="33">
        <v>28</v>
      </c>
      <c r="X233" s="33">
        <v>16</v>
      </c>
      <c r="Y233" s="33">
        <v>0</v>
      </c>
      <c r="Z233" s="33">
        <v>16</v>
      </c>
      <c r="AA233" s="33">
        <v>1</v>
      </c>
      <c r="AC233" s="29"/>
    </row>
    <row r="234" spans="1:29" x14ac:dyDescent="0.25">
      <c r="A234" s="27" t="s">
        <v>444</v>
      </c>
      <c r="B234" s="27" t="s">
        <v>19</v>
      </c>
      <c r="C234" s="27" t="s">
        <v>13</v>
      </c>
      <c r="D234" s="27" t="s">
        <v>154</v>
      </c>
      <c r="E234" s="27" t="s">
        <v>21</v>
      </c>
      <c r="F234" s="27" t="s">
        <v>505</v>
      </c>
      <c r="G234" s="27" t="s">
        <v>156</v>
      </c>
      <c r="H234" s="27" t="s">
        <v>513</v>
      </c>
      <c r="I234" s="27" t="s">
        <v>517</v>
      </c>
      <c r="J234" s="27" t="s">
        <v>527</v>
      </c>
      <c r="K234" s="27" t="s">
        <v>529</v>
      </c>
      <c r="L234" s="27" t="s">
        <v>539</v>
      </c>
      <c r="M234" s="30">
        <v>42471</v>
      </c>
      <c r="N234" s="30">
        <v>42471</v>
      </c>
      <c r="O234" s="30">
        <v>42475</v>
      </c>
      <c r="P234" s="27" t="s">
        <v>102</v>
      </c>
      <c r="Q234" s="32">
        <v>1</v>
      </c>
      <c r="R234" s="32">
        <v>11.242314814814801</v>
      </c>
      <c r="S234" s="32">
        <v>18.117233796296301</v>
      </c>
      <c r="T234" s="32">
        <v>1</v>
      </c>
      <c r="U234" s="32">
        <v>1</v>
      </c>
      <c r="V234" s="32">
        <v>11.241712962963</v>
      </c>
      <c r="W234" s="32">
        <v>56</v>
      </c>
      <c r="X234" s="32">
        <v>15</v>
      </c>
      <c r="Y234" s="32">
        <v>0</v>
      </c>
      <c r="Z234" s="32">
        <v>15</v>
      </c>
      <c r="AA234" s="32">
        <v>1</v>
      </c>
      <c r="AC234" s="29"/>
    </row>
    <row r="235" spans="1:29" x14ac:dyDescent="0.25">
      <c r="A235" s="28" t="s">
        <v>445</v>
      </c>
      <c r="B235" s="28" t="s">
        <v>498</v>
      </c>
      <c r="C235" s="28" t="s">
        <v>13</v>
      </c>
      <c r="D235" s="28" t="s">
        <v>154</v>
      </c>
      <c r="E235" s="28" t="s">
        <v>21</v>
      </c>
      <c r="F235" s="28" t="s">
        <v>505</v>
      </c>
      <c r="G235" s="28" t="s">
        <v>156</v>
      </c>
      <c r="H235" s="28" t="s">
        <v>513</v>
      </c>
      <c r="I235" s="28" t="s">
        <v>517</v>
      </c>
      <c r="J235" s="28" t="s">
        <v>522</v>
      </c>
      <c r="K235" s="28" t="s">
        <v>529</v>
      </c>
      <c r="L235" s="28" t="s">
        <v>539</v>
      </c>
      <c r="M235" s="31">
        <v>42471</v>
      </c>
      <c r="N235" s="31">
        <v>42471</v>
      </c>
      <c r="O235" s="31">
        <v>42480</v>
      </c>
      <c r="P235" s="28" t="s">
        <v>98</v>
      </c>
      <c r="Q235" s="33">
        <v>1</v>
      </c>
      <c r="R235" s="33">
        <v>11.234212962962999</v>
      </c>
      <c r="S235" s="33">
        <v>65.989606481481502</v>
      </c>
      <c r="T235" s="33">
        <v>1</v>
      </c>
      <c r="U235" s="33">
        <v>1</v>
      </c>
      <c r="V235" s="33">
        <v>11.229826388888901</v>
      </c>
      <c r="W235" s="33">
        <v>56</v>
      </c>
      <c r="X235" s="33">
        <v>10.25</v>
      </c>
      <c r="Y235" s="33">
        <v>2.25</v>
      </c>
      <c r="Z235" s="33">
        <v>8</v>
      </c>
      <c r="AA235" s="33">
        <v>1</v>
      </c>
      <c r="AC235" s="29"/>
    </row>
    <row r="236" spans="1:29" x14ac:dyDescent="0.25">
      <c r="A236" s="27" t="s">
        <v>446</v>
      </c>
      <c r="B236" s="27" t="s">
        <v>14</v>
      </c>
      <c r="C236" s="27" t="s">
        <v>15</v>
      </c>
      <c r="D236" s="27" t="s">
        <v>154</v>
      </c>
      <c r="E236" s="27" t="s">
        <v>21</v>
      </c>
      <c r="F236" s="27" t="s">
        <v>505</v>
      </c>
      <c r="G236" s="27" t="s">
        <v>512</v>
      </c>
      <c r="H236" s="27" t="s">
        <v>513</v>
      </c>
      <c r="I236" s="27" t="s">
        <v>516</v>
      </c>
      <c r="J236" s="27" t="s">
        <v>516</v>
      </c>
      <c r="K236" s="27" t="s">
        <v>529</v>
      </c>
      <c r="L236" s="27" t="s">
        <v>539</v>
      </c>
      <c r="M236" s="30">
        <v>42471</v>
      </c>
      <c r="N236" s="30"/>
      <c r="O236" s="30"/>
      <c r="P236" s="27" t="s">
        <v>102</v>
      </c>
      <c r="Q236" s="32">
        <v>1</v>
      </c>
      <c r="R236" s="32">
        <v>7.0495949074074096</v>
      </c>
      <c r="S236" s="32">
        <v>7.0498842592592599</v>
      </c>
      <c r="T236" s="32">
        <v>0</v>
      </c>
      <c r="U236" s="32">
        <v>1</v>
      </c>
      <c r="V236" s="32">
        <v>7.04871527777778</v>
      </c>
      <c r="W236" s="32">
        <v>140</v>
      </c>
      <c r="X236" s="32">
        <v>14</v>
      </c>
      <c r="Y236" s="32">
        <v>14</v>
      </c>
      <c r="Z236" s="32">
        <v>0</v>
      </c>
      <c r="AA236" s="32">
        <v>1</v>
      </c>
      <c r="AC236" s="29"/>
    </row>
    <row r="237" spans="1:29" x14ac:dyDescent="0.25">
      <c r="A237" s="28" t="s">
        <v>447</v>
      </c>
      <c r="B237" s="28" t="s">
        <v>14</v>
      </c>
      <c r="C237" s="28" t="s">
        <v>16</v>
      </c>
      <c r="D237" s="28" t="s">
        <v>154</v>
      </c>
      <c r="E237" s="28" t="s">
        <v>21</v>
      </c>
      <c r="F237" s="28" t="s">
        <v>506</v>
      </c>
      <c r="G237" s="28" t="s">
        <v>511</v>
      </c>
      <c r="H237" s="28" t="s">
        <v>513</v>
      </c>
      <c r="I237" s="28" t="s">
        <v>516</v>
      </c>
      <c r="J237" s="28" t="s">
        <v>516</v>
      </c>
      <c r="K237" s="28" t="s">
        <v>529</v>
      </c>
      <c r="L237" s="28" t="s">
        <v>539</v>
      </c>
      <c r="M237" s="31">
        <v>42472</v>
      </c>
      <c r="N237" s="31"/>
      <c r="O237" s="31"/>
      <c r="P237" s="28" t="s">
        <v>98</v>
      </c>
      <c r="Q237" s="33">
        <v>1</v>
      </c>
      <c r="R237" s="33">
        <v>13.5459143518519</v>
      </c>
      <c r="S237" s="33">
        <v>20.556215277777799</v>
      </c>
      <c r="T237" s="33">
        <v>0</v>
      </c>
      <c r="U237" s="33">
        <v>1</v>
      </c>
      <c r="V237" s="33">
        <v>13.5438425925926</v>
      </c>
      <c r="W237" s="33">
        <v>28</v>
      </c>
      <c r="X237" s="33">
        <v>13</v>
      </c>
      <c r="Y237" s="33">
        <v>13</v>
      </c>
      <c r="Z237" s="33">
        <v>0</v>
      </c>
      <c r="AA237" s="33">
        <v>1</v>
      </c>
      <c r="AC237" s="29"/>
    </row>
    <row r="238" spans="1:29" x14ac:dyDescent="0.25">
      <c r="A238" s="27" t="s">
        <v>448</v>
      </c>
      <c r="B238" s="27" t="s">
        <v>19</v>
      </c>
      <c r="C238" s="27" t="s">
        <v>13</v>
      </c>
      <c r="D238" s="27" t="s">
        <v>75</v>
      </c>
      <c r="E238" s="27" t="s">
        <v>28</v>
      </c>
      <c r="F238" s="27" t="s">
        <v>505</v>
      </c>
      <c r="G238" s="27" t="s">
        <v>156</v>
      </c>
      <c r="H238" s="27" t="s">
        <v>513</v>
      </c>
      <c r="I238" s="27" t="s">
        <v>517</v>
      </c>
      <c r="J238" s="27" t="s">
        <v>527</v>
      </c>
      <c r="K238" s="27" t="s">
        <v>529</v>
      </c>
      <c r="L238" s="27" t="s">
        <v>539</v>
      </c>
      <c r="M238" s="30">
        <v>42473</v>
      </c>
      <c r="N238" s="30">
        <v>42473</v>
      </c>
      <c r="O238" s="30">
        <v>42480</v>
      </c>
      <c r="P238" s="27" t="s">
        <v>102</v>
      </c>
      <c r="Q238" s="32">
        <v>1</v>
      </c>
      <c r="R238" s="32">
        <v>7.7839699074074096</v>
      </c>
      <c r="S238" s="32">
        <v>7.7841319444444403</v>
      </c>
      <c r="T238" s="32">
        <v>1</v>
      </c>
      <c r="U238" s="32">
        <v>1</v>
      </c>
      <c r="V238" s="32">
        <v>7.7836689814814797</v>
      </c>
      <c r="W238" s="32">
        <v>45</v>
      </c>
      <c r="X238" s="32">
        <v>13</v>
      </c>
      <c r="Y238" s="32">
        <v>0</v>
      </c>
      <c r="Z238" s="32">
        <v>13</v>
      </c>
      <c r="AA238" s="32">
        <v>1</v>
      </c>
      <c r="AC238" s="29"/>
    </row>
    <row r="239" spans="1:29" x14ac:dyDescent="0.25">
      <c r="A239" s="28" t="s">
        <v>449</v>
      </c>
      <c r="B239" s="28" t="s">
        <v>14</v>
      </c>
      <c r="C239" s="28" t="s">
        <v>16</v>
      </c>
      <c r="D239" s="28" t="s">
        <v>154</v>
      </c>
      <c r="E239" s="28" t="s">
        <v>21</v>
      </c>
      <c r="F239" s="28" t="s">
        <v>506</v>
      </c>
      <c r="G239" s="28" t="s">
        <v>511</v>
      </c>
      <c r="H239" s="28" t="s">
        <v>513</v>
      </c>
      <c r="I239" s="28" t="s">
        <v>516</v>
      </c>
      <c r="J239" s="28" t="s">
        <v>516</v>
      </c>
      <c r="K239" s="28" t="s">
        <v>529</v>
      </c>
      <c r="L239" s="28" t="s">
        <v>539</v>
      </c>
      <c r="M239" s="31">
        <v>42480</v>
      </c>
      <c r="N239" s="31"/>
      <c r="O239" s="31"/>
      <c r="P239" s="28" t="s">
        <v>105</v>
      </c>
      <c r="Q239" s="33">
        <v>1</v>
      </c>
      <c r="R239" s="33">
        <v>26.515324074074101</v>
      </c>
      <c r="S239" s="33">
        <v>26.515567129629598</v>
      </c>
      <c r="T239" s="33">
        <v>0</v>
      </c>
      <c r="U239" s="33">
        <v>1</v>
      </c>
      <c r="V239" s="33">
        <v>14.658171296296301</v>
      </c>
      <c r="W239" s="33">
        <v>28</v>
      </c>
      <c r="X239" s="33">
        <v>16</v>
      </c>
      <c r="Y239" s="33">
        <v>16</v>
      </c>
      <c r="Z239" s="33">
        <v>0</v>
      </c>
      <c r="AA239" s="33">
        <v>1</v>
      </c>
      <c r="AC239" s="29"/>
    </row>
    <row r="240" spans="1:29" x14ac:dyDescent="0.25">
      <c r="A240" s="27" t="s">
        <v>450</v>
      </c>
      <c r="B240" s="27" t="s">
        <v>14</v>
      </c>
      <c r="C240" s="27" t="s">
        <v>13</v>
      </c>
      <c r="D240" s="27" t="s">
        <v>154</v>
      </c>
      <c r="E240" s="27" t="s">
        <v>21</v>
      </c>
      <c r="F240" s="27" t="s">
        <v>505</v>
      </c>
      <c r="G240" s="27" t="s">
        <v>512</v>
      </c>
      <c r="H240" s="27" t="s">
        <v>513</v>
      </c>
      <c r="I240" s="27" t="s">
        <v>516</v>
      </c>
      <c r="J240" s="27" t="s">
        <v>516</v>
      </c>
      <c r="K240" s="27" t="s">
        <v>529</v>
      </c>
      <c r="L240" s="27" t="s">
        <v>539</v>
      </c>
      <c r="M240" s="30">
        <v>42480</v>
      </c>
      <c r="N240" s="30"/>
      <c r="O240" s="30"/>
      <c r="P240" s="27" t="s">
        <v>101</v>
      </c>
      <c r="Q240" s="32">
        <v>1</v>
      </c>
      <c r="R240" s="32">
        <v>14.1449074074074</v>
      </c>
      <c r="S240" s="32">
        <v>35.356944444444402</v>
      </c>
      <c r="T240" s="32">
        <v>0</v>
      </c>
      <c r="U240" s="32">
        <v>1</v>
      </c>
      <c r="V240" s="32">
        <v>14.144525462962999</v>
      </c>
      <c r="W240" s="32">
        <v>56</v>
      </c>
      <c r="X240" s="32">
        <v>12</v>
      </c>
      <c r="Y240" s="32">
        <v>12</v>
      </c>
      <c r="Z240" s="32">
        <v>0</v>
      </c>
      <c r="AA240" s="32">
        <v>1</v>
      </c>
      <c r="AC240" s="29"/>
    </row>
    <row r="241" spans="1:29" x14ac:dyDescent="0.25">
      <c r="A241" s="28" t="s">
        <v>451</v>
      </c>
      <c r="B241" s="28" t="s">
        <v>14</v>
      </c>
      <c r="C241" s="28" t="s">
        <v>13</v>
      </c>
      <c r="D241" s="28" t="s">
        <v>154</v>
      </c>
      <c r="E241" s="28" t="s">
        <v>21</v>
      </c>
      <c r="F241" s="28" t="s">
        <v>505</v>
      </c>
      <c r="G241" s="28" t="s">
        <v>512</v>
      </c>
      <c r="H241" s="28" t="s">
        <v>513</v>
      </c>
      <c r="I241" s="28" t="s">
        <v>516</v>
      </c>
      <c r="J241" s="28" t="s">
        <v>516</v>
      </c>
      <c r="K241" s="28" t="s">
        <v>529</v>
      </c>
      <c r="L241" s="28" t="s">
        <v>539</v>
      </c>
      <c r="M241" s="31">
        <v>42480</v>
      </c>
      <c r="N241" s="31"/>
      <c r="O241" s="31"/>
      <c r="P241" s="28" t="s">
        <v>102</v>
      </c>
      <c r="Q241" s="33">
        <v>1</v>
      </c>
      <c r="R241" s="33">
        <v>20.3626851851852</v>
      </c>
      <c r="S241" s="33">
        <v>54.272222222222197</v>
      </c>
      <c r="T241" s="33">
        <v>0</v>
      </c>
      <c r="U241" s="33">
        <v>1</v>
      </c>
      <c r="V241" s="33">
        <v>20.362222222222201</v>
      </c>
      <c r="W241" s="33">
        <v>56</v>
      </c>
      <c r="X241" s="33">
        <v>16</v>
      </c>
      <c r="Y241" s="33">
        <v>16</v>
      </c>
      <c r="Z241" s="33">
        <v>0</v>
      </c>
      <c r="AA241" s="33">
        <v>1</v>
      </c>
      <c r="AC241" s="29"/>
    </row>
    <row r="242" spans="1:29" x14ac:dyDescent="0.25">
      <c r="A242" s="27" t="s">
        <v>452</v>
      </c>
      <c r="B242" s="27" t="s">
        <v>14</v>
      </c>
      <c r="C242" s="27" t="s">
        <v>13</v>
      </c>
      <c r="D242" s="27" t="s">
        <v>154</v>
      </c>
      <c r="E242" s="27" t="s">
        <v>21</v>
      </c>
      <c r="F242" s="27" t="s">
        <v>505</v>
      </c>
      <c r="G242" s="27" t="s">
        <v>512</v>
      </c>
      <c r="H242" s="27" t="s">
        <v>513</v>
      </c>
      <c r="I242" s="27" t="s">
        <v>516</v>
      </c>
      <c r="J242" s="27" t="s">
        <v>516</v>
      </c>
      <c r="K242" s="27" t="s">
        <v>529</v>
      </c>
      <c r="L242" s="27" t="s">
        <v>539</v>
      </c>
      <c r="M242" s="30">
        <v>42480</v>
      </c>
      <c r="N242" s="30"/>
      <c r="O242" s="30"/>
      <c r="P242" s="27" t="s">
        <v>105</v>
      </c>
      <c r="Q242" s="32">
        <v>1</v>
      </c>
      <c r="R242" s="32">
        <v>14.141412037037</v>
      </c>
      <c r="S242" s="32">
        <v>35.356793981481502</v>
      </c>
      <c r="T242" s="32">
        <v>0</v>
      </c>
      <c r="U242" s="32">
        <v>1</v>
      </c>
      <c r="V242" s="32">
        <v>14.141203703703701</v>
      </c>
      <c r="W242" s="32">
        <v>56</v>
      </c>
      <c r="X242" s="32">
        <v>14.5</v>
      </c>
      <c r="Y242" s="32">
        <v>14.5</v>
      </c>
      <c r="Z242" s="32">
        <v>0</v>
      </c>
      <c r="AA242" s="32">
        <v>1</v>
      </c>
      <c r="AC242" s="29"/>
    </row>
    <row r="243" spans="1:29" x14ac:dyDescent="0.25">
      <c r="A243" s="28" t="s">
        <v>453</v>
      </c>
      <c r="B243" s="28" t="s">
        <v>14</v>
      </c>
      <c r="C243" s="28" t="s">
        <v>13</v>
      </c>
      <c r="D243" s="28" t="s">
        <v>154</v>
      </c>
      <c r="E243" s="28" t="s">
        <v>21</v>
      </c>
      <c r="F243" s="28" t="s">
        <v>505</v>
      </c>
      <c r="G243" s="28" t="s">
        <v>512</v>
      </c>
      <c r="H243" s="28" t="s">
        <v>513</v>
      </c>
      <c r="I243" s="28" t="s">
        <v>517</v>
      </c>
      <c r="J243" s="28" t="s">
        <v>522</v>
      </c>
      <c r="K243" s="28" t="s">
        <v>529</v>
      </c>
      <c r="L243" s="28" t="s">
        <v>539</v>
      </c>
      <c r="M243" s="31">
        <v>42480</v>
      </c>
      <c r="N243" s="31">
        <v>42485</v>
      </c>
      <c r="O243" s="31">
        <v>42496</v>
      </c>
      <c r="P243" s="28" t="s">
        <v>101</v>
      </c>
      <c r="Q243" s="33">
        <v>1</v>
      </c>
      <c r="R243" s="33">
        <v>15.970752314814799</v>
      </c>
      <c r="S243" s="33">
        <v>35.353449074074099</v>
      </c>
      <c r="T243" s="33">
        <v>1</v>
      </c>
      <c r="U243" s="33">
        <v>1</v>
      </c>
      <c r="V243" s="33">
        <v>15.9704513888889</v>
      </c>
      <c r="W243" s="33">
        <v>56</v>
      </c>
      <c r="X243" s="33">
        <v>27.5</v>
      </c>
      <c r="Y243" s="33">
        <v>7.5</v>
      </c>
      <c r="Z243" s="33">
        <v>20</v>
      </c>
      <c r="AA243" s="33">
        <v>1</v>
      </c>
      <c r="AC243" s="29"/>
    </row>
    <row r="244" spans="1:29" x14ac:dyDescent="0.25">
      <c r="A244" s="27" t="s">
        <v>454</v>
      </c>
      <c r="B244" s="27" t="s">
        <v>14</v>
      </c>
      <c r="C244" s="27" t="s">
        <v>16</v>
      </c>
      <c r="D244" s="27" t="s">
        <v>154</v>
      </c>
      <c r="E244" s="27" t="s">
        <v>21</v>
      </c>
      <c r="F244" s="27" t="s">
        <v>505</v>
      </c>
      <c r="G244" s="27" t="s">
        <v>156</v>
      </c>
      <c r="H244" s="27" t="s">
        <v>513</v>
      </c>
      <c r="I244" s="27" t="s">
        <v>516</v>
      </c>
      <c r="J244" s="27" t="s">
        <v>516</v>
      </c>
      <c r="K244" s="27" t="s">
        <v>529</v>
      </c>
      <c r="L244" s="27" t="s">
        <v>539</v>
      </c>
      <c r="M244" s="30">
        <v>42480</v>
      </c>
      <c r="N244" s="30"/>
      <c r="O244" s="30"/>
      <c r="P244" s="27" t="s">
        <v>98</v>
      </c>
      <c r="Q244" s="32">
        <v>1</v>
      </c>
      <c r="R244" s="32">
        <v>14.155567129629601</v>
      </c>
      <c r="S244" s="32">
        <v>50.0771759259259</v>
      </c>
      <c r="T244" s="32">
        <v>0</v>
      </c>
      <c r="U244" s="32">
        <v>1</v>
      </c>
      <c r="V244" s="32">
        <v>14.154108796296301</v>
      </c>
      <c r="W244" s="32">
        <v>28</v>
      </c>
      <c r="X244" s="32">
        <v>19</v>
      </c>
      <c r="Y244" s="32">
        <v>19</v>
      </c>
      <c r="Z244" s="32">
        <v>0</v>
      </c>
      <c r="AA244" s="32">
        <v>1</v>
      </c>
      <c r="AC244" s="29"/>
    </row>
    <row r="245" spans="1:29" x14ac:dyDescent="0.25">
      <c r="A245" s="28" t="s">
        <v>455</v>
      </c>
      <c r="B245" s="28" t="s">
        <v>14</v>
      </c>
      <c r="C245" s="28" t="s">
        <v>16</v>
      </c>
      <c r="D245" s="28" t="s">
        <v>154</v>
      </c>
      <c r="E245" s="28" t="s">
        <v>21</v>
      </c>
      <c r="F245" s="28" t="s">
        <v>506</v>
      </c>
      <c r="G245" s="28" t="s">
        <v>511</v>
      </c>
      <c r="H245" s="28" t="s">
        <v>513</v>
      </c>
      <c r="I245" s="28" t="s">
        <v>516</v>
      </c>
      <c r="J245" s="28" t="s">
        <v>516</v>
      </c>
      <c r="K245" s="28" t="s">
        <v>529</v>
      </c>
      <c r="L245" s="28" t="s">
        <v>539</v>
      </c>
      <c r="M245" s="31">
        <v>42480</v>
      </c>
      <c r="N245" s="31"/>
      <c r="O245" s="31"/>
      <c r="P245" s="28" t="s">
        <v>102</v>
      </c>
      <c r="Q245" s="33">
        <v>1</v>
      </c>
      <c r="R245" s="33">
        <v>25.982962962963001</v>
      </c>
      <c r="S245" s="33">
        <v>25.9833449074074</v>
      </c>
      <c r="T245" s="33">
        <v>0</v>
      </c>
      <c r="U245" s="33">
        <v>1</v>
      </c>
      <c r="V245" s="33">
        <v>14.1273842592593</v>
      </c>
      <c r="W245" s="33">
        <v>28</v>
      </c>
      <c r="X245" s="33">
        <v>16.25</v>
      </c>
      <c r="Y245" s="33">
        <v>16.25</v>
      </c>
      <c r="Z245" s="33">
        <v>0</v>
      </c>
      <c r="AA245" s="33">
        <v>1</v>
      </c>
      <c r="AC245" s="29"/>
    </row>
    <row r="246" spans="1:29" x14ac:dyDescent="0.25">
      <c r="A246" s="27" t="s">
        <v>456</v>
      </c>
      <c r="B246" s="27" t="s">
        <v>14</v>
      </c>
      <c r="C246" s="27" t="s">
        <v>16</v>
      </c>
      <c r="D246" s="27" t="s">
        <v>154</v>
      </c>
      <c r="E246" s="27" t="s">
        <v>21</v>
      </c>
      <c r="F246" s="27" t="s">
        <v>506</v>
      </c>
      <c r="G246" s="27" t="s">
        <v>511</v>
      </c>
      <c r="H246" s="27" t="s">
        <v>513</v>
      </c>
      <c r="I246" s="27" t="s">
        <v>516</v>
      </c>
      <c r="J246" s="27" t="s">
        <v>516</v>
      </c>
      <c r="K246" s="27" t="s">
        <v>529</v>
      </c>
      <c r="L246" s="27" t="s">
        <v>539</v>
      </c>
      <c r="M246" s="30">
        <v>42480</v>
      </c>
      <c r="N246" s="30"/>
      <c r="O246" s="30"/>
      <c r="P246" s="27" t="s">
        <v>98</v>
      </c>
      <c r="Q246" s="32">
        <v>1</v>
      </c>
      <c r="R246" s="32">
        <v>14.131284722222199</v>
      </c>
      <c r="S246" s="32">
        <v>14.131412037037</v>
      </c>
      <c r="T246" s="32">
        <v>0</v>
      </c>
      <c r="U246" s="32">
        <v>1</v>
      </c>
      <c r="V246" s="32">
        <v>14.131064814814801</v>
      </c>
      <c r="W246" s="32">
        <v>28</v>
      </c>
      <c r="X246" s="32">
        <v>14</v>
      </c>
      <c r="Y246" s="32">
        <v>14</v>
      </c>
      <c r="Z246" s="32">
        <v>0</v>
      </c>
      <c r="AA246" s="32">
        <v>1</v>
      </c>
      <c r="AC246" s="29"/>
    </row>
    <row r="247" spans="1:29" x14ac:dyDescent="0.25">
      <c r="A247" s="28" t="s">
        <v>457</v>
      </c>
      <c r="B247" s="28" t="s">
        <v>14</v>
      </c>
      <c r="C247" s="28" t="s">
        <v>16</v>
      </c>
      <c r="D247" s="28" t="s">
        <v>154</v>
      </c>
      <c r="E247" s="28" t="s">
        <v>21</v>
      </c>
      <c r="F247" s="28" t="s">
        <v>506</v>
      </c>
      <c r="G247" s="28" t="s">
        <v>511</v>
      </c>
      <c r="H247" s="28" t="s">
        <v>513</v>
      </c>
      <c r="I247" s="28" t="s">
        <v>516</v>
      </c>
      <c r="J247" s="28" t="s">
        <v>516</v>
      </c>
      <c r="K247" s="28" t="s">
        <v>529</v>
      </c>
      <c r="L247" s="28" t="s">
        <v>539</v>
      </c>
      <c r="M247" s="31">
        <v>42480</v>
      </c>
      <c r="N247" s="31"/>
      <c r="O247" s="31"/>
      <c r="P247" s="28" t="s">
        <v>102</v>
      </c>
      <c r="Q247" s="33">
        <v>1</v>
      </c>
      <c r="R247" s="33">
        <v>26.205543981481501</v>
      </c>
      <c r="S247" s="33">
        <v>26.205787037036998</v>
      </c>
      <c r="T247" s="33">
        <v>0</v>
      </c>
      <c r="U247" s="33">
        <v>1</v>
      </c>
      <c r="V247" s="33">
        <v>14.133749999999999</v>
      </c>
      <c r="W247" s="33">
        <v>28</v>
      </c>
      <c r="X247" s="33">
        <v>19</v>
      </c>
      <c r="Y247" s="33">
        <v>19</v>
      </c>
      <c r="Z247" s="33">
        <v>0</v>
      </c>
      <c r="AA247" s="33">
        <v>1</v>
      </c>
      <c r="AC247" s="29"/>
    </row>
    <row r="248" spans="1:29" x14ac:dyDescent="0.25">
      <c r="A248" s="27" t="s">
        <v>458</v>
      </c>
      <c r="B248" s="27" t="s">
        <v>19</v>
      </c>
      <c r="C248" s="27" t="s">
        <v>13</v>
      </c>
      <c r="D248" s="27" t="s">
        <v>155</v>
      </c>
      <c r="E248" s="27" t="s">
        <v>24</v>
      </c>
      <c r="F248" s="27" t="s">
        <v>505</v>
      </c>
      <c r="G248" s="27" t="s">
        <v>156</v>
      </c>
      <c r="H248" s="27" t="s">
        <v>513</v>
      </c>
      <c r="I248" s="27" t="s">
        <v>517</v>
      </c>
      <c r="J248" s="27" t="s">
        <v>527</v>
      </c>
      <c r="K248" s="27" t="s">
        <v>529</v>
      </c>
      <c r="L248" s="27" t="s">
        <v>539</v>
      </c>
      <c r="M248" s="30">
        <v>42481</v>
      </c>
      <c r="N248" s="30">
        <v>42485</v>
      </c>
      <c r="O248" s="30">
        <v>42495</v>
      </c>
      <c r="P248" s="27" t="s">
        <v>102</v>
      </c>
      <c r="Q248" s="32">
        <v>1</v>
      </c>
      <c r="R248" s="32">
        <v>44.283738425925897</v>
      </c>
      <c r="S248" s="32">
        <v>52.283807870370403</v>
      </c>
      <c r="T248" s="32">
        <v>1</v>
      </c>
      <c r="U248" s="32">
        <v>1</v>
      </c>
      <c r="V248" s="32">
        <v>44.279363425925901</v>
      </c>
      <c r="W248" s="32">
        <v>40</v>
      </c>
      <c r="X248" s="32">
        <v>20.3</v>
      </c>
      <c r="Y248" s="32">
        <v>1.3</v>
      </c>
      <c r="Z248" s="32">
        <v>19</v>
      </c>
      <c r="AA248" s="32">
        <v>0</v>
      </c>
      <c r="AC248" s="29"/>
    </row>
    <row r="249" spans="1:29" x14ac:dyDescent="0.25">
      <c r="A249" s="28" t="s">
        <v>459</v>
      </c>
      <c r="B249" s="28" t="s">
        <v>14</v>
      </c>
      <c r="C249" s="28" t="s">
        <v>15</v>
      </c>
      <c r="D249" s="28" t="s">
        <v>154</v>
      </c>
      <c r="E249" s="28" t="s">
        <v>21</v>
      </c>
      <c r="F249" s="28" t="s">
        <v>505</v>
      </c>
      <c r="G249" s="28" t="s">
        <v>512</v>
      </c>
      <c r="H249" s="28" t="s">
        <v>513</v>
      </c>
      <c r="I249" s="28" t="s">
        <v>516</v>
      </c>
      <c r="J249" s="28" t="s">
        <v>516</v>
      </c>
      <c r="K249" s="28" t="s">
        <v>529</v>
      </c>
      <c r="L249" s="28" t="s">
        <v>539</v>
      </c>
      <c r="M249" s="31">
        <v>42482</v>
      </c>
      <c r="N249" s="31"/>
      <c r="O249" s="31"/>
      <c r="P249" s="28" t="s">
        <v>105</v>
      </c>
      <c r="Q249" s="33">
        <v>1</v>
      </c>
      <c r="R249" s="33">
        <v>3.7024421296296302</v>
      </c>
      <c r="S249" s="33">
        <v>11.8360763888889</v>
      </c>
      <c r="T249" s="33">
        <v>0</v>
      </c>
      <c r="U249" s="33">
        <v>1</v>
      </c>
      <c r="V249" s="33">
        <v>3.7021759259259301</v>
      </c>
      <c r="W249" s="33">
        <v>140</v>
      </c>
      <c r="X249" s="33">
        <v>6</v>
      </c>
      <c r="Y249" s="33">
        <v>6</v>
      </c>
      <c r="Z249" s="33">
        <v>0</v>
      </c>
      <c r="AA249" s="33">
        <v>1</v>
      </c>
      <c r="AC249" s="29"/>
    </row>
    <row r="250" spans="1:29" x14ac:dyDescent="0.25">
      <c r="A250" s="27" t="s">
        <v>460</v>
      </c>
      <c r="B250" s="27" t="s">
        <v>19</v>
      </c>
      <c r="C250" s="27" t="s">
        <v>13</v>
      </c>
      <c r="D250" s="27" t="s">
        <v>155</v>
      </c>
      <c r="E250" s="27" t="s">
        <v>24</v>
      </c>
      <c r="F250" s="27" t="s">
        <v>506</v>
      </c>
      <c r="G250" s="27" t="s">
        <v>511</v>
      </c>
      <c r="H250" s="27" t="s">
        <v>513</v>
      </c>
      <c r="I250" s="27" t="s">
        <v>517</v>
      </c>
      <c r="J250" s="27" t="s">
        <v>527</v>
      </c>
      <c r="K250" s="27" t="s">
        <v>533</v>
      </c>
      <c r="L250" s="27" t="s">
        <v>539</v>
      </c>
      <c r="M250" s="30">
        <v>42483</v>
      </c>
      <c r="N250" s="30">
        <v>42485</v>
      </c>
      <c r="O250" s="30">
        <v>42500</v>
      </c>
      <c r="P250" s="27" t="s">
        <v>98</v>
      </c>
      <c r="Q250" s="32">
        <v>1</v>
      </c>
      <c r="R250" s="32">
        <v>41.703414351851897</v>
      </c>
      <c r="S250" s="32">
        <v>49.703553240740703</v>
      </c>
      <c r="T250" s="32">
        <v>1</v>
      </c>
      <c r="U250" s="32">
        <v>1</v>
      </c>
      <c r="V250" s="32">
        <v>41.698506944444397</v>
      </c>
      <c r="W250" s="32">
        <v>40</v>
      </c>
      <c r="X250" s="32">
        <v>42.3</v>
      </c>
      <c r="Y250" s="32">
        <v>0.3</v>
      </c>
      <c r="Z250" s="32">
        <v>42</v>
      </c>
      <c r="AA250" s="32">
        <v>0</v>
      </c>
      <c r="AC250" s="29"/>
    </row>
    <row r="251" spans="1:29" x14ac:dyDescent="0.25">
      <c r="A251" s="28" t="s">
        <v>461</v>
      </c>
      <c r="B251" s="28" t="s">
        <v>14</v>
      </c>
      <c r="C251" s="28" t="s">
        <v>15</v>
      </c>
      <c r="D251" s="28" t="s">
        <v>154</v>
      </c>
      <c r="E251" s="28" t="s">
        <v>21</v>
      </c>
      <c r="F251" s="28" t="s">
        <v>505</v>
      </c>
      <c r="G251" s="28" t="s">
        <v>156</v>
      </c>
      <c r="H251" s="28" t="s">
        <v>513</v>
      </c>
      <c r="I251" s="28" t="s">
        <v>516</v>
      </c>
      <c r="J251" s="28" t="s">
        <v>516</v>
      </c>
      <c r="K251" s="28" t="s">
        <v>529</v>
      </c>
      <c r="L251" s="28" t="s">
        <v>539</v>
      </c>
      <c r="M251" s="31">
        <v>42486</v>
      </c>
      <c r="N251" s="31"/>
      <c r="O251" s="31"/>
      <c r="P251" s="28" t="s">
        <v>102</v>
      </c>
      <c r="Q251" s="33">
        <v>1</v>
      </c>
      <c r="R251" s="33">
        <v>2.1076388888888902</v>
      </c>
      <c r="S251" s="33">
        <v>77.017719907407397</v>
      </c>
      <c r="T251" s="33">
        <v>0</v>
      </c>
      <c r="U251" s="33">
        <v>1</v>
      </c>
      <c r="V251" s="33">
        <v>2.1050810185185198</v>
      </c>
      <c r="W251" s="33">
        <v>140</v>
      </c>
      <c r="X251" s="33">
        <v>18</v>
      </c>
      <c r="Y251" s="33">
        <v>18</v>
      </c>
      <c r="Z251" s="33">
        <v>0</v>
      </c>
      <c r="AA251" s="33">
        <v>1</v>
      </c>
      <c r="AC251" s="29"/>
    </row>
    <row r="252" spans="1:29" x14ac:dyDescent="0.25">
      <c r="A252" s="27" t="s">
        <v>462</v>
      </c>
      <c r="B252" s="27" t="s">
        <v>14</v>
      </c>
      <c r="C252" s="27" t="s">
        <v>13</v>
      </c>
      <c r="D252" s="27" t="s">
        <v>154</v>
      </c>
      <c r="E252" s="27" t="s">
        <v>21</v>
      </c>
      <c r="F252" s="27" t="s">
        <v>506</v>
      </c>
      <c r="G252" s="27" t="s">
        <v>511</v>
      </c>
      <c r="H252" s="27" t="s">
        <v>513</v>
      </c>
      <c r="I252" s="27" t="s">
        <v>517</v>
      </c>
      <c r="J252" s="27" t="s">
        <v>522</v>
      </c>
      <c r="K252" s="27" t="s">
        <v>529</v>
      </c>
      <c r="L252" s="27" t="s">
        <v>539</v>
      </c>
      <c r="M252" s="30">
        <v>42487</v>
      </c>
      <c r="N252" s="30">
        <v>42487</v>
      </c>
      <c r="O252" s="30">
        <v>42535</v>
      </c>
      <c r="P252" s="27" t="s">
        <v>102</v>
      </c>
      <c r="Q252" s="32">
        <v>1</v>
      </c>
      <c r="R252" s="32">
        <v>16.856365740740699</v>
      </c>
      <c r="S252" s="32">
        <v>48.9334027777778</v>
      </c>
      <c r="T252" s="32">
        <v>1</v>
      </c>
      <c r="U252" s="32">
        <v>1</v>
      </c>
      <c r="V252" s="32">
        <v>16.855775462962999</v>
      </c>
      <c r="W252" s="32">
        <v>56</v>
      </c>
      <c r="X252" s="32">
        <v>32</v>
      </c>
      <c r="Y252" s="32">
        <v>15</v>
      </c>
      <c r="Z252" s="32">
        <v>17</v>
      </c>
      <c r="AA252" s="32">
        <v>1</v>
      </c>
      <c r="AC252" s="29"/>
    </row>
    <row r="253" spans="1:29" x14ac:dyDescent="0.25">
      <c r="A253" s="28" t="s">
        <v>463</v>
      </c>
      <c r="B253" s="28" t="s">
        <v>19</v>
      </c>
      <c r="C253" s="28" t="s">
        <v>13</v>
      </c>
      <c r="D253" s="28" t="s">
        <v>154</v>
      </c>
      <c r="E253" s="28" t="s">
        <v>21</v>
      </c>
      <c r="F253" s="28" t="s">
        <v>505</v>
      </c>
      <c r="G253" s="28" t="s">
        <v>156</v>
      </c>
      <c r="H253" s="28" t="s">
        <v>513</v>
      </c>
      <c r="I253" s="28" t="s">
        <v>517</v>
      </c>
      <c r="J253" s="28" t="s">
        <v>527</v>
      </c>
      <c r="K253" s="28" t="s">
        <v>534</v>
      </c>
      <c r="L253" s="28" t="s">
        <v>539</v>
      </c>
      <c r="M253" s="31">
        <v>42489</v>
      </c>
      <c r="N253" s="31">
        <v>42489</v>
      </c>
      <c r="O253" s="31">
        <v>42508</v>
      </c>
      <c r="P253" s="28" t="s">
        <v>98</v>
      </c>
      <c r="Q253" s="33">
        <v>1</v>
      </c>
      <c r="R253" s="33">
        <v>20.082442129629602</v>
      </c>
      <c r="S253" s="33">
        <v>47.135983796296301</v>
      </c>
      <c r="T253" s="33">
        <v>1</v>
      </c>
      <c r="U253" s="33">
        <v>1</v>
      </c>
      <c r="V253" s="33">
        <v>20.074826388888901</v>
      </c>
      <c r="W253" s="33">
        <v>56</v>
      </c>
      <c r="X253" s="33">
        <v>29.5</v>
      </c>
      <c r="Y253" s="33">
        <v>0.5</v>
      </c>
      <c r="Z253" s="33">
        <v>29</v>
      </c>
      <c r="AA253" s="33">
        <v>1</v>
      </c>
      <c r="AC253" s="29"/>
    </row>
    <row r="254" spans="1:29" x14ac:dyDescent="0.25">
      <c r="A254" s="27" t="s">
        <v>464</v>
      </c>
      <c r="B254" s="27" t="s">
        <v>19</v>
      </c>
      <c r="C254" s="27" t="s">
        <v>15</v>
      </c>
      <c r="D254" s="27" t="s">
        <v>154</v>
      </c>
      <c r="E254" s="27" t="s">
        <v>21</v>
      </c>
      <c r="F254" s="27" t="s">
        <v>505</v>
      </c>
      <c r="G254" s="27" t="s">
        <v>156</v>
      </c>
      <c r="H254" s="27" t="s">
        <v>513</v>
      </c>
      <c r="I254" s="27" t="s">
        <v>517</v>
      </c>
      <c r="J254" s="27" t="s">
        <v>527</v>
      </c>
      <c r="K254" s="27" t="s">
        <v>535</v>
      </c>
      <c r="L254" s="27" t="s">
        <v>539</v>
      </c>
      <c r="M254" s="30">
        <v>42489</v>
      </c>
      <c r="N254" s="30">
        <v>42489</v>
      </c>
      <c r="O254" s="30">
        <v>42516</v>
      </c>
      <c r="P254" s="27" t="s">
        <v>98</v>
      </c>
      <c r="Q254" s="32">
        <v>1</v>
      </c>
      <c r="R254" s="32">
        <v>34.978576388888897</v>
      </c>
      <c r="S254" s="32">
        <v>47.9455555555556</v>
      </c>
      <c r="T254" s="32">
        <v>1</v>
      </c>
      <c r="U254" s="32">
        <v>1</v>
      </c>
      <c r="V254" s="32">
        <v>34.976990740740703</v>
      </c>
      <c r="W254" s="32">
        <v>140</v>
      </c>
      <c r="X254" s="32">
        <v>19</v>
      </c>
      <c r="Y254" s="32">
        <v>1</v>
      </c>
      <c r="Z254" s="32">
        <v>18</v>
      </c>
      <c r="AA254" s="32">
        <v>1</v>
      </c>
      <c r="AC254" s="29"/>
    </row>
    <row r="255" spans="1:29" x14ac:dyDescent="0.25">
      <c r="A255" s="28" t="s">
        <v>465</v>
      </c>
      <c r="B255" s="28" t="s">
        <v>19</v>
      </c>
      <c r="C255" s="28" t="s">
        <v>13</v>
      </c>
      <c r="D255" s="28" t="s">
        <v>75</v>
      </c>
      <c r="E255" s="28" t="s">
        <v>28</v>
      </c>
      <c r="F255" s="28" t="s">
        <v>505</v>
      </c>
      <c r="G255" s="28" t="s">
        <v>156</v>
      </c>
      <c r="H255" s="28" t="s">
        <v>513</v>
      </c>
      <c r="I255" s="28" t="s">
        <v>517</v>
      </c>
      <c r="J255" s="28" t="s">
        <v>527</v>
      </c>
      <c r="K255" s="28" t="s">
        <v>529</v>
      </c>
      <c r="L255" s="28" t="s">
        <v>539</v>
      </c>
      <c r="M255" s="31">
        <v>42493</v>
      </c>
      <c r="N255" s="31">
        <v>42493</v>
      </c>
      <c r="O255" s="31">
        <v>42536</v>
      </c>
      <c r="P255" s="28" t="s">
        <v>113</v>
      </c>
      <c r="Q255" s="33">
        <v>1</v>
      </c>
      <c r="R255" s="33">
        <v>34.1096875</v>
      </c>
      <c r="S255" s="33">
        <v>48.013935185185197</v>
      </c>
      <c r="T255" s="33">
        <v>1</v>
      </c>
      <c r="U255" s="33">
        <v>1</v>
      </c>
      <c r="V255" s="33">
        <v>34.107592592592603</v>
      </c>
      <c r="W255" s="33">
        <v>45</v>
      </c>
      <c r="X255" s="33">
        <v>20.3333333333333</v>
      </c>
      <c r="Y255" s="33">
        <v>0</v>
      </c>
      <c r="Z255" s="33">
        <v>20.3333333333333</v>
      </c>
      <c r="AA255" s="33">
        <v>1</v>
      </c>
      <c r="AC255" s="29"/>
    </row>
    <row r="256" spans="1:29" x14ac:dyDescent="0.25">
      <c r="A256" s="27" t="s">
        <v>466</v>
      </c>
      <c r="B256" s="27" t="s">
        <v>14</v>
      </c>
      <c r="C256" s="27" t="s">
        <v>13</v>
      </c>
      <c r="D256" s="27" t="s">
        <v>154</v>
      </c>
      <c r="E256" s="27" t="s">
        <v>21</v>
      </c>
      <c r="F256" s="27" t="s">
        <v>505</v>
      </c>
      <c r="G256" s="27" t="s">
        <v>512</v>
      </c>
      <c r="H256" s="27" t="s">
        <v>513</v>
      </c>
      <c r="I256" s="27" t="s">
        <v>516</v>
      </c>
      <c r="J256" s="27" t="s">
        <v>516</v>
      </c>
      <c r="K256" s="27" t="s">
        <v>529</v>
      </c>
      <c r="L256" s="27" t="s">
        <v>539</v>
      </c>
      <c r="M256" s="30">
        <v>42493</v>
      </c>
      <c r="N256" s="30"/>
      <c r="O256" s="30"/>
      <c r="P256" s="27" t="s">
        <v>102</v>
      </c>
      <c r="Q256" s="32">
        <v>1</v>
      </c>
      <c r="R256" s="32">
        <v>7.0118865740740697</v>
      </c>
      <c r="S256" s="32">
        <v>36.7613657407407</v>
      </c>
      <c r="T256" s="32">
        <v>0</v>
      </c>
      <c r="U256" s="32">
        <v>1</v>
      </c>
      <c r="V256" s="32">
        <v>7.0116203703703697</v>
      </c>
      <c r="W256" s="32">
        <v>56</v>
      </c>
      <c r="X256" s="32">
        <v>12</v>
      </c>
      <c r="Y256" s="32">
        <v>12</v>
      </c>
      <c r="Z256" s="32">
        <v>0</v>
      </c>
      <c r="AA256" s="32">
        <v>1</v>
      </c>
      <c r="AC256" s="29"/>
    </row>
    <row r="257" spans="1:29" x14ac:dyDescent="0.25">
      <c r="A257" s="28" t="s">
        <v>467</v>
      </c>
      <c r="B257" s="28" t="s">
        <v>14</v>
      </c>
      <c r="C257" s="28" t="s">
        <v>17</v>
      </c>
      <c r="D257" s="28" t="s">
        <v>154</v>
      </c>
      <c r="E257" s="28" t="s">
        <v>21</v>
      </c>
      <c r="F257" s="28" t="s">
        <v>505</v>
      </c>
      <c r="G257" s="28" t="s">
        <v>512</v>
      </c>
      <c r="H257" s="28" t="s">
        <v>513</v>
      </c>
      <c r="I257" s="28" t="s">
        <v>517</v>
      </c>
      <c r="J257" s="28" t="s">
        <v>528</v>
      </c>
      <c r="K257" s="28" t="s">
        <v>529</v>
      </c>
      <c r="L257" s="28" t="s">
        <v>539</v>
      </c>
      <c r="M257" s="31">
        <v>42496</v>
      </c>
      <c r="N257" s="31">
        <v>42496</v>
      </c>
      <c r="O257" s="31">
        <v>42496</v>
      </c>
      <c r="P257" s="28" t="s">
        <v>103</v>
      </c>
      <c r="Q257" s="33">
        <v>1</v>
      </c>
      <c r="R257" s="33">
        <v>1.4004629629629599E-3</v>
      </c>
      <c r="S257" s="33">
        <v>6.5312499999999996E-2</v>
      </c>
      <c r="T257" s="33">
        <v>0</v>
      </c>
      <c r="U257" s="33">
        <v>1</v>
      </c>
      <c r="V257" s="33">
        <v>3.5879629629629602E-4</v>
      </c>
      <c r="W257" s="33">
        <v>3</v>
      </c>
      <c r="X257" s="33">
        <v>5</v>
      </c>
      <c r="Y257" s="33">
        <v>5</v>
      </c>
      <c r="Z257" s="33">
        <v>0</v>
      </c>
      <c r="AA257" s="33">
        <v>1</v>
      </c>
      <c r="AC257" s="29"/>
    </row>
    <row r="258" spans="1:29" x14ac:dyDescent="0.25">
      <c r="A258" s="27" t="s">
        <v>468</v>
      </c>
      <c r="B258" s="27" t="s">
        <v>14</v>
      </c>
      <c r="C258" s="27" t="s">
        <v>13</v>
      </c>
      <c r="D258" s="27" t="s">
        <v>154</v>
      </c>
      <c r="E258" s="27" t="s">
        <v>21</v>
      </c>
      <c r="F258" s="27" t="s">
        <v>505</v>
      </c>
      <c r="G258" s="27" t="s">
        <v>512</v>
      </c>
      <c r="H258" s="27" t="s">
        <v>513</v>
      </c>
      <c r="I258" s="27" t="s">
        <v>516</v>
      </c>
      <c r="J258" s="27" t="s">
        <v>516</v>
      </c>
      <c r="K258" s="27" t="s">
        <v>529</v>
      </c>
      <c r="L258" s="27" t="s">
        <v>539</v>
      </c>
      <c r="M258" s="30">
        <v>42496</v>
      </c>
      <c r="N258" s="30"/>
      <c r="O258" s="30"/>
      <c r="P258" s="27" t="s">
        <v>111</v>
      </c>
      <c r="Q258" s="32">
        <v>1</v>
      </c>
      <c r="R258" s="32">
        <v>5.2608796296296303</v>
      </c>
      <c r="S258" s="32">
        <v>123.23244212963</v>
      </c>
      <c r="T258" s="32">
        <v>0</v>
      </c>
      <c r="U258" s="32">
        <v>1</v>
      </c>
      <c r="V258" s="32">
        <v>5.25980324074074</v>
      </c>
      <c r="W258" s="32">
        <v>56</v>
      </c>
      <c r="X258" s="32">
        <v>41.5</v>
      </c>
      <c r="Y258" s="32">
        <v>41.5</v>
      </c>
      <c r="Z258" s="32">
        <v>0</v>
      </c>
      <c r="AA258" s="32">
        <v>1</v>
      </c>
      <c r="AC258" s="29"/>
    </row>
    <row r="259" spans="1:29" x14ac:dyDescent="0.25">
      <c r="A259" s="28" t="s">
        <v>469</v>
      </c>
      <c r="B259" s="28" t="s">
        <v>498</v>
      </c>
      <c r="C259" s="28" t="s">
        <v>13</v>
      </c>
      <c r="D259" s="28" t="s">
        <v>154</v>
      </c>
      <c r="E259" s="28" t="s">
        <v>21</v>
      </c>
      <c r="F259" s="28" t="s">
        <v>505</v>
      </c>
      <c r="G259" s="28" t="s">
        <v>156</v>
      </c>
      <c r="H259" s="28" t="s">
        <v>513</v>
      </c>
      <c r="I259" s="28" t="s">
        <v>517</v>
      </c>
      <c r="J259" s="28" t="s">
        <v>523</v>
      </c>
      <c r="K259" s="28" t="s">
        <v>529</v>
      </c>
      <c r="L259" s="28" t="s">
        <v>539</v>
      </c>
      <c r="M259" s="31">
        <v>42496</v>
      </c>
      <c r="N259" s="31">
        <v>42496</v>
      </c>
      <c r="O259" s="31">
        <v>42510</v>
      </c>
      <c r="P259" s="28" t="s">
        <v>110</v>
      </c>
      <c r="Q259" s="33">
        <v>1</v>
      </c>
      <c r="R259" s="33">
        <v>28.239756944444402</v>
      </c>
      <c r="S259" s="33">
        <v>40.139479166666703</v>
      </c>
      <c r="T259" s="33">
        <v>1</v>
      </c>
      <c r="U259" s="33">
        <v>1</v>
      </c>
      <c r="V259" s="33">
        <v>28.2388657407407</v>
      </c>
      <c r="W259" s="33">
        <v>56</v>
      </c>
      <c r="X259" s="33">
        <v>15</v>
      </c>
      <c r="Y259" s="33">
        <v>7</v>
      </c>
      <c r="Z259" s="33">
        <v>8</v>
      </c>
      <c r="AA259" s="33">
        <v>1</v>
      </c>
      <c r="AC259" s="29"/>
    </row>
    <row r="260" spans="1:29" x14ac:dyDescent="0.25">
      <c r="A260" s="27" t="s">
        <v>470</v>
      </c>
      <c r="B260" s="27" t="s">
        <v>498</v>
      </c>
      <c r="C260" s="27" t="s">
        <v>13</v>
      </c>
      <c r="D260" s="27" t="s">
        <v>154</v>
      </c>
      <c r="E260" s="27" t="s">
        <v>21</v>
      </c>
      <c r="F260" s="27" t="s">
        <v>505</v>
      </c>
      <c r="G260" s="27" t="s">
        <v>156</v>
      </c>
      <c r="H260" s="27" t="s">
        <v>513</v>
      </c>
      <c r="I260" s="27" t="s">
        <v>517</v>
      </c>
      <c r="J260" s="27" t="s">
        <v>522</v>
      </c>
      <c r="K260" s="27" t="s">
        <v>536</v>
      </c>
      <c r="L260" s="27" t="s">
        <v>539</v>
      </c>
      <c r="M260" s="30">
        <v>42496</v>
      </c>
      <c r="N260" s="30">
        <v>42496</v>
      </c>
      <c r="O260" s="30">
        <v>42508</v>
      </c>
      <c r="P260" s="27" t="s">
        <v>98</v>
      </c>
      <c r="Q260" s="32">
        <v>1</v>
      </c>
      <c r="R260" s="32">
        <v>12.871736111111099</v>
      </c>
      <c r="S260" s="32">
        <v>39.936087962963001</v>
      </c>
      <c r="T260" s="32">
        <v>1</v>
      </c>
      <c r="U260" s="32">
        <v>1</v>
      </c>
      <c r="V260" s="32">
        <v>12.8710300925926</v>
      </c>
      <c r="W260" s="32">
        <v>56</v>
      </c>
      <c r="X260" s="32">
        <v>39.5</v>
      </c>
      <c r="Y260" s="32">
        <v>22.5</v>
      </c>
      <c r="Z260" s="32">
        <v>17</v>
      </c>
      <c r="AA260" s="32">
        <v>1</v>
      </c>
      <c r="AC260" s="29"/>
    </row>
    <row r="261" spans="1:29" x14ac:dyDescent="0.25">
      <c r="A261" s="28" t="s">
        <v>471</v>
      </c>
      <c r="B261" s="28" t="s">
        <v>498</v>
      </c>
      <c r="C261" s="28" t="s">
        <v>13</v>
      </c>
      <c r="D261" s="28" t="s">
        <v>154</v>
      </c>
      <c r="E261" s="28" t="s">
        <v>21</v>
      </c>
      <c r="F261" s="28" t="s">
        <v>505</v>
      </c>
      <c r="G261" s="28" t="s">
        <v>156</v>
      </c>
      <c r="H261" s="28" t="s">
        <v>513</v>
      </c>
      <c r="I261" s="28" t="s">
        <v>517</v>
      </c>
      <c r="J261" s="28" t="s">
        <v>522</v>
      </c>
      <c r="K261" s="28" t="s">
        <v>537</v>
      </c>
      <c r="L261" s="28" t="s">
        <v>539</v>
      </c>
      <c r="M261" s="31">
        <v>42496</v>
      </c>
      <c r="N261" s="31">
        <v>42496</v>
      </c>
      <c r="O261" s="31">
        <v>42508</v>
      </c>
      <c r="P261" s="28" t="s">
        <v>98</v>
      </c>
      <c r="Q261" s="33">
        <v>1</v>
      </c>
      <c r="R261" s="33">
        <v>12.8730902777778</v>
      </c>
      <c r="S261" s="33">
        <v>39.936030092592603</v>
      </c>
      <c r="T261" s="33">
        <v>1</v>
      </c>
      <c r="U261" s="33">
        <v>1</v>
      </c>
      <c r="V261" s="33">
        <v>12.8717824074074</v>
      </c>
      <c r="W261" s="33">
        <v>56</v>
      </c>
      <c r="X261" s="33">
        <v>19.5</v>
      </c>
      <c r="Y261" s="33">
        <v>1.5</v>
      </c>
      <c r="Z261" s="33">
        <v>18</v>
      </c>
      <c r="AA261" s="33">
        <v>1</v>
      </c>
      <c r="AC261" s="29"/>
    </row>
    <row r="262" spans="1:29" x14ac:dyDescent="0.25">
      <c r="A262" s="27" t="s">
        <v>472</v>
      </c>
      <c r="B262" s="27" t="s">
        <v>498</v>
      </c>
      <c r="C262" s="27" t="s">
        <v>13</v>
      </c>
      <c r="D262" s="27" t="s">
        <v>154</v>
      </c>
      <c r="E262" s="27" t="s">
        <v>21</v>
      </c>
      <c r="F262" s="27" t="s">
        <v>505</v>
      </c>
      <c r="G262" s="27" t="s">
        <v>156</v>
      </c>
      <c r="H262" s="27" t="s">
        <v>513</v>
      </c>
      <c r="I262" s="27" t="s">
        <v>517</v>
      </c>
      <c r="J262" s="27" t="s">
        <v>522</v>
      </c>
      <c r="K262" s="27" t="s">
        <v>538</v>
      </c>
      <c r="L262" s="27" t="s">
        <v>539</v>
      </c>
      <c r="M262" s="30">
        <v>42500</v>
      </c>
      <c r="N262" s="30">
        <v>42500</v>
      </c>
      <c r="O262" s="30">
        <v>42508</v>
      </c>
      <c r="P262" s="27" t="s">
        <v>98</v>
      </c>
      <c r="Q262" s="32">
        <v>1</v>
      </c>
      <c r="R262" s="32">
        <v>9.7513773148148193</v>
      </c>
      <c r="S262" s="32">
        <v>36.801423611111098</v>
      </c>
      <c r="T262" s="32">
        <v>1</v>
      </c>
      <c r="U262" s="32">
        <v>1</v>
      </c>
      <c r="V262" s="32">
        <v>9.7510763888888903</v>
      </c>
      <c r="W262" s="32">
        <v>56</v>
      </c>
      <c r="X262" s="32">
        <v>18.5</v>
      </c>
      <c r="Y262" s="32">
        <v>0.5</v>
      </c>
      <c r="Z262" s="32">
        <v>18</v>
      </c>
      <c r="AA262" s="32">
        <v>1</v>
      </c>
      <c r="AC262" s="29"/>
    </row>
    <row r="263" spans="1:29" x14ac:dyDescent="0.25">
      <c r="A263" s="28" t="s">
        <v>473</v>
      </c>
      <c r="B263" s="28" t="s">
        <v>498</v>
      </c>
      <c r="C263" s="28" t="s">
        <v>13</v>
      </c>
      <c r="D263" s="28" t="s">
        <v>154</v>
      </c>
      <c r="E263" s="28" t="s">
        <v>21</v>
      </c>
      <c r="F263" s="28" t="s">
        <v>505</v>
      </c>
      <c r="G263" s="28" t="s">
        <v>156</v>
      </c>
      <c r="H263" s="28" t="s">
        <v>513</v>
      </c>
      <c r="I263" s="28" t="s">
        <v>517</v>
      </c>
      <c r="J263" s="28" t="s">
        <v>522</v>
      </c>
      <c r="K263" s="28" t="s">
        <v>529</v>
      </c>
      <c r="L263" s="28" t="s">
        <v>539</v>
      </c>
      <c r="M263" s="31">
        <v>42501</v>
      </c>
      <c r="N263" s="31">
        <v>42501</v>
      </c>
      <c r="O263" s="31">
        <v>42506</v>
      </c>
      <c r="P263" s="28" t="s">
        <v>113</v>
      </c>
      <c r="Q263" s="33">
        <v>1</v>
      </c>
      <c r="R263" s="33">
        <v>8.7379050925925892</v>
      </c>
      <c r="S263" s="33">
        <v>35.792824074074097</v>
      </c>
      <c r="T263" s="33">
        <v>1</v>
      </c>
      <c r="U263" s="33">
        <v>1</v>
      </c>
      <c r="V263" s="33">
        <v>8.7364467592592607</v>
      </c>
      <c r="W263" s="33">
        <v>56</v>
      </c>
      <c r="X263" s="33">
        <v>19</v>
      </c>
      <c r="Y263" s="33">
        <v>1</v>
      </c>
      <c r="Z263" s="33">
        <v>18</v>
      </c>
      <c r="AA263" s="33">
        <v>1</v>
      </c>
      <c r="AC263" s="29"/>
    </row>
    <row r="264" spans="1:29" x14ac:dyDescent="0.25">
      <c r="A264" s="27" t="s">
        <v>474</v>
      </c>
      <c r="B264" s="27" t="s">
        <v>14</v>
      </c>
      <c r="C264" s="27" t="s">
        <v>13</v>
      </c>
      <c r="D264" s="27" t="s">
        <v>154</v>
      </c>
      <c r="E264" s="27" t="s">
        <v>21</v>
      </c>
      <c r="F264" s="27" t="s">
        <v>505</v>
      </c>
      <c r="G264" s="27" t="s">
        <v>156</v>
      </c>
      <c r="H264" s="27" t="s">
        <v>513</v>
      </c>
      <c r="I264" s="27" t="s">
        <v>516</v>
      </c>
      <c r="J264" s="27" t="s">
        <v>516</v>
      </c>
      <c r="K264" s="27" t="s">
        <v>529</v>
      </c>
      <c r="L264" s="27" t="s">
        <v>539</v>
      </c>
      <c r="M264" s="30">
        <v>42502</v>
      </c>
      <c r="N264" s="30"/>
      <c r="O264" s="30"/>
      <c r="P264" s="27" t="s">
        <v>102</v>
      </c>
      <c r="Q264" s="32">
        <v>1</v>
      </c>
      <c r="R264" s="32">
        <v>1.2905671296296299</v>
      </c>
      <c r="S264" s="32">
        <v>1.2907407407407401</v>
      </c>
      <c r="T264" s="32">
        <v>0</v>
      </c>
      <c r="U264" s="32">
        <v>1</v>
      </c>
      <c r="V264" s="32">
        <v>1.2899652777777799</v>
      </c>
      <c r="W264" s="32">
        <v>56</v>
      </c>
      <c r="X264" s="32">
        <v>6.5</v>
      </c>
      <c r="Y264" s="32">
        <v>6.5</v>
      </c>
      <c r="Z264" s="32">
        <v>0</v>
      </c>
      <c r="AA264" s="32">
        <v>1</v>
      </c>
      <c r="AC264" s="29"/>
    </row>
    <row r="265" spans="1:29" x14ac:dyDescent="0.25">
      <c r="A265" s="28" t="s">
        <v>475</v>
      </c>
      <c r="B265" s="28" t="s">
        <v>14</v>
      </c>
      <c r="C265" s="28" t="s">
        <v>13</v>
      </c>
      <c r="D265" s="28" t="s">
        <v>154</v>
      </c>
      <c r="E265" s="28" t="s">
        <v>21</v>
      </c>
      <c r="F265" s="28" t="s">
        <v>505</v>
      </c>
      <c r="G265" s="28" t="s">
        <v>512</v>
      </c>
      <c r="H265" s="28" t="s">
        <v>513</v>
      </c>
      <c r="I265" s="28" t="s">
        <v>517</v>
      </c>
      <c r="J265" s="28" t="s">
        <v>523</v>
      </c>
      <c r="K265" s="28" t="s">
        <v>529</v>
      </c>
      <c r="L265" s="28" t="s">
        <v>539</v>
      </c>
      <c r="M265" s="31">
        <v>42503</v>
      </c>
      <c r="N265" s="31">
        <v>42504</v>
      </c>
      <c r="O265" s="31">
        <v>42508</v>
      </c>
      <c r="P265" s="28" t="s">
        <v>110</v>
      </c>
      <c r="Q265" s="33">
        <v>1</v>
      </c>
      <c r="R265" s="33">
        <v>4.9556828703703699</v>
      </c>
      <c r="S265" s="33">
        <v>7.5640856481481498</v>
      </c>
      <c r="T265" s="33">
        <v>1</v>
      </c>
      <c r="U265" s="33">
        <v>1</v>
      </c>
      <c r="V265" s="33">
        <v>4.9550694444444403</v>
      </c>
      <c r="W265" s="33">
        <v>56</v>
      </c>
      <c r="X265" s="33">
        <v>13.5</v>
      </c>
      <c r="Y265" s="33">
        <v>10.5</v>
      </c>
      <c r="Z265" s="33">
        <v>3</v>
      </c>
      <c r="AA265" s="33">
        <v>1</v>
      </c>
      <c r="AC265" s="29"/>
    </row>
    <row r="266" spans="1:29" x14ac:dyDescent="0.25">
      <c r="A266" s="27" t="s">
        <v>476</v>
      </c>
      <c r="B266" s="27" t="s">
        <v>14</v>
      </c>
      <c r="C266" s="27" t="s">
        <v>13</v>
      </c>
      <c r="D266" s="27" t="s">
        <v>154</v>
      </c>
      <c r="E266" s="27" t="s">
        <v>21</v>
      </c>
      <c r="F266" s="27" t="s">
        <v>505</v>
      </c>
      <c r="G266" s="27" t="s">
        <v>512</v>
      </c>
      <c r="H266" s="27" t="s">
        <v>513</v>
      </c>
      <c r="I266" s="27" t="s">
        <v>517</v>
      </c>
      <c r="J266" s="27" t="s">
        <v>522</v>
      </c>
      <c r="K266" s="27" t="s">
        <v>529</v>
      </c>
      <c r="L266" s="27" t="s">
        <v>539</v>
      </c>
      <c r="M266" s="30">
        <v>42506</v>
      </c>
      <c r="N266" s="30">
        <v>42506</v>
      </c>
      <c r="O266" s="30">
        <v>42521</v>
      </c>
      <c r="P266" s="27" t="s">
        <v>115</v>
      </c>
      <c r="Q266" s="32">
        <v>1</v>
      </c>
      <c r="R266" s="32">
        <v>18.742719907407398</v>
      </c>
      <c r="S266" s="32">
        <v>18.742951388888901</v>
      </c>
      <c r="T266" s="32">
        <v>1</v>
      </c>
      <c r="U266" s="32">
        <v>1</v>
      </c>
      <c r="V266" s="32">
        <v>18.7415162037037</v>
      </c>
      <c r="W266" s="32">
        <v>56</v>
      </c>
      <c r="X266" s="32">
        <v>20.5</v>
      </c>
      <c r="Y266" s="32">
        <v>4.5</v>
      </c>
      <c r="Z266" s="32">
        <v>16</v>
      </c>
      <c r="AA266" s="32">
        <v>1</v>
      </c>
      <c r="AC266" s="29"/>
    </row>
    <row r="267" spans="1:29" x14ac:dyDescent="0.25">
      <c r="A267" s="28" t="s">
        <v>477</v>
      </c>
      <c r="B267" s="28" t="s">
        <v>14</v>
      </c>
      <c r="C267" s="28" t="s">
        <v>13</v>
      </c>
      <c r="D267" s="28" t="s">
        <v>154</v>
      </c>
      <c r="E267" s="28" t="s">
        <v>21</v>
      </c>
      <c r="F267" s="28" t="s">
        <v>505</v>
      </c>
      <c r="G267" s="28" t="s">
        <v>512</v>
      </c>
      <c r="H267" s="28" t="s">
        <v>513</v>
      </c>
      <c r="I267" s="28" t="s">
        <v>516</v>
      </c>
      <c r="J267" s="28" t="s">
        <v>516</v>
      </c>
      <c r="K267" s="28" t="s">
        <v>529</v>
      </c>
      <c r="L267" s="28" t="s">
        <v>539</v>
      </c>
      <c r="M267" s="31">
        <v>42506</v>
      </c>
      <c r="N267" s="31"/>
      <c r="O267" s="31"/>
      <c r="P267" s="28" t="s">
        <v>105</v>
      </c>
      <c r="Q267" s="33">
        <v>1</v>
      </c>
      <c r="R267" s="33">
        <v>7.35084490740741</v>
      </c>
      <c r="S267" s="33">
        <v>24.011412037037001</v>
      </c>
      <c r="T267" s="33">
        <v>0</v>
      </c>
      <c r="U267" s="33">
        <v>1</v>
      </c>
      <c r="V267" s="33">
        <v>7.3502199074074097</v>
      </c>
      <c r="W267" s="33">
        <v>56</v>
      </c>
      <c r="X267" s="33">
        <v>7.5</v>
      </c>
      <c r="Y267" s="33">
        <v>7.5</v>
      </c>
      <c r="Z267" s="33">
        <v>0</v>
      </c>
      <c r="AA267" s="33">
        <v>1</v>
      </c>
      <c r="AC267" s="29"/>
    </row>
    <row r="268" spans="1:29" x14ac:dyDescent="0.25">
      <c r="A268" s="27" t="s">
        <v>478</v>
      </c>
      <c r="B268" s="27" t="s">
        <v>19</v>
      </c>
      <c r="C268" s="27" t="s">
        <v>16</v>
      </c>
      <c r="D268" s="27" t="s">
        <v>155</v>
      </c>
      <c r="E268" s="27" t="s">
        <v>24</v>
      </c>
      <c r="F268" s="27" t="s">
        <v>505</v>
      </c>
      <c r="G268" s="27" t="s">
        <v>156</v>
      </c>
      <c r="H268" s="27" t="s">
        <v>513</v>
      </c>
      <c r="I268" s="27" t="s">
        <v>517</v>
      </c>
      <c r="J268" s="27" t="s">
        <v>522</v>
      </c>
      <c r="K268" s="27" t="s">
        <v>529</v>
      </c>
      <c r="L268" s="27" t="s">
        <v>539</v>
      </c>
      <c r="M268" s="30">
        <v>42510</v>
      </c>
      <c r="N268" s="30">
        <v>42510</v>
      </c>
      <c r="O268" s="30">
        <v>42514</v>
      </c>
      <c r="P268" s="27" t="s">
        <v>102</v>
      </c>
      <c r="Q268" s="32">
        <v>1</v>
      </c>
      <c r="R268" s="32">
        <v>19.993124999999999</v>
      </c>
      <c r="S268" s="32">
        <v>27.993159722222199</v>
      </c>
      <c r="T268" s="32">
        <v>1</v>
      </c>
      <c r="U268" s="32">
        <v>1</v>
      </c>
      <c r="V268" s="32">
        <v>19.988217592592601</v>
      </c>
      <c r="W268" s="32">
        <v>14</v>
      </c>
      <c r="X268" s="32">
        <v>8</v>
      </c>
      <c r="Y268" s="32">
        <v>0</v>
      </c>
      <c r="Z268" s="32">
        <v>8</v>
      </c>
      <c r="AA268" s="32">
        <v>0</v>
      </c>
      <c r="AC268" s="29"/>
    </row>
    <row r="269" spans="1:29" x14ac:dyDescent="0.25">
      <c r="A269" s="28" t="s">
        <v>479</v>
      </c>
      <c r="B269" s="28" t="s">
        <v>14</v>
      </c>
      <c r="C269" s="28" t="s">
        <v>16</v>
      </c>
      <c r="D269" s="28" t="s">
        <v>154</v>
      </c>
      <c r="E269" s="28" t="s">
        <v>21</v>
      </c>
      <c r="F269" s="28" t="s">
        <v>505</v>
      </c>
      <c r="G269" s="28" t="s">
        <v>512</v>
      </c>
      <c r="H269" s="28" t="s">
        <v>513</v>
      </c>
      <c r="I269" s="28" t="s">
        <v>516</v>
      </c>
      <c r="J269" s="28" t="s">
        <v>516</v>
      </c>
      <c r="K269" s="28" t="s">
        <v>529</v>
      </c>
      <c r="L269" s="28" t="s">
        <v>539</v>
      </c>
      <c r="M269" s="31">
        <v>42510</v>
      </c>
      <c r="N269" s="31"/>
      <c r="O269" s="31"/>
      <c r="P269" s="28" t="s">
        <v>118</v>
      </c>
      <c r="Q269" s="33">
        <v>1</v>
      </c>
      <c r="R269" s="33">
        <v>18.787986111111099</v>
      </c>
      <c r="S269" s="33">
        <v>18.788368055555601</v>
      </c>
      <c r="T269" s="33">
        <v>0</v>
      </c>
      <c r="U269" s="33">
        <v>1</v>
      </c>
      <c r="V269" s="33">
        <v>18.7876851851852</v>
      </c>
      <c r="W269" s="33">
        <v>28</v>
      </c>
      <c r="X269" s="33">
        <v>15</v>
      </c>
      <c r="Y269" s="33">
        <v>15</v>
      </c>
      <c r="Z269" s="33">
        <v>0</v>
      </c>
      <c r="AA269" s="33">
        <v>1</v>
      </c>
      <c r="AC269" s="29"/>
    </row>
    <row r="270" spans="1:29" x14ac:dyDescent="0.25">
      <c r="A270" s="27" t="s">
        <v>480</v>
      </c>
      <c r="B270" s="27" t="s">
        <v>14</v>
      </c>
      <c r="C270" s="27" t="s">
        <v>13</v>
      </c>
      <c r="D270" s="27" t="s">
        <v>154</v>
      </c>
      <c r="E270" s="27" t="s">
        <v>21</v>
      </c>
      <c r="F270" s="27" t="s">
        <v>506</v>
      </c>
      <c r="G270" s="27" t="s">
        <v>511</v>
      </c>
      <c r="H270" s="27" t="s">
        <v>513</v>
      </c>
      <c r="I270" s="27" t="s">
        <v>517</v>
      </c>
      <c r="J270" s="27" t="s">
        <v>523</v>
      </c>
      <c r="K270" s="27" t="s">
        <v>529</v>
      </c>
      <c r="L270" s="27" t="s">
        <v>539</v>
      </c>
      <c r="M270" s="30">
        <v>42513</v>
      </c>
      <c r="N270" s="30">
        <v>42513</v>
      </c>
      <c r="O270" s="30">
        <v>42520</v>
      </c>
      <c r="P270" s="27" t="s">
        <v>106</v>
      </c>
      <c r="Q270" s="32">
        <v>1</v>
      </c>
      <c r="R270" s="32">
        <v>8.8450578703703702</v>
      </c>
      <c r="S270" s="32">
        <v>8.8453125000000004</v>
      </c>
      <c r="T270" s="32">
        <v>1</v>
      </c>
      <c r="U270" s="32">
        <v>1</v>
      </c>
      <c r="V270" s="32">
        <v>8.8446064814814793</v>
      </c>
      <c r="W270" s="32">
        <v>56</v>
      </c>
      <c r="X270" s="32">
        <v>5</v>
      </c>
      <c r="Y270" s="32">
        <v>3</v>
      </c>
      <c r="Z270" s="32">
        <v>2</v>
      </c>
      <c r="AA270" s="32">
        <v>1</v>
      </c>
      <c r="AC270" s="29"/>
    </row>
    <row r="271" spans="1:29" x14ac:dyDescent="0.25">
      <c r="A271" s="28" t="s">
        <v>481</v>
      </c>
      <c r="B271" s="28" t="s">
        <v>14</v>
      </c>
      <c r="C271" s="28" t="s">
        <v>13</v>
      </c>
      <c r="D271" s="28" t="s">
        <v>154</v>
      </c>
      <c r="E271" s="28" t="s">
        <v>21</v>
      </c>
      <c r="F271" s="28" t="s">
        <v>505</v>
      </c>
      <c r="G271" s="28" t="s">
        <v>512</v>
      </c>
      <c r="H271" s="28" t="s">
        <v>513</v>
      </c>
      <c r="I271" s="28" t="s">
        <v>517</v>
      </c>
      <c r="J271" s="28" t="s">
        <v>522</v>
      </c>
      <c r="K271" s="28" t="s">
        <v>529</v>
      </c>
      <c r="L271" s="28" t="s">
        <v>539</v>
      </c>
      <c r="M271" s="31">
        <v>42514</v>
      </c>
      <c r="N271" s="31">
        <v>42515</v>
      </c>
      <c r="O271" s="31">
        <v>42557</v>
      </c>
      <c r="P271" s="28" t="s">
        <v>104</v>
      </c>
      <c r="Q271" s="33">
        <v>1</v>
      </c>
      <c r="R271" s="33">
        <v>16.480995370370401</v>
      </c>
      <c r="S271" s="33">
        <v>49.324456018518497</v>
      </c>
      <c r="T271" s="33">
        <v>1</v>
      </c>
      <c r="U271" s="33">
        <v>1</v>
      </c>
      <c r="V271" s="33">
        <v>16.479895833333298</v>
      </c>
      <c r="W271" s="33">
        <v>56</v>
      </c>
      <c r="X271" s="33">
        <v>22</v>
      </c>
      <c r="Y271" s="33">
        <v>15</v>
      </c>
      <c r="Z271" s="33">
        <v>7</v>
      </c>
      <c r="AA271" s="33">
        <v>1</v>
      </c>
      <c r="AC271" s="29"/>
    </row>
    <row r="272" spans="1:29" x14ac:dyDescent="0.25">
      <c r="A272" s="27" t="s">
        <v>482</v>
      </c>
      <c r="B272" s="27" t="s">
        <v>14</v>
      </c>
      <c r="C272" s="27" t="s">
        <v>13</v>
      </c>
      <c r="D272" s="27" t="s">
        <v>154</v>
      </c>
      <c r="E272" s="27" t="s">
        <v>21</v>
      </c>
      <c r="F272" s="27" t="s">
        <v>506</v>
      </c>
      <c r="G272" s="27" t="s">
        <v>511</v>
      </c>
      <c r="H272" s="27" t="s">
        <v>513</v>
      </c>
      <c r="I272" s="27" t="s">
        <v>517</v>
      </c>
      <c r="J272" s="27" t="s">
        <v>523</v>
      </c>
      <c r="K272" s="27" t="s">
        <v>529</v>
      </c>
      <c r="L272" s="27" t="s">
        <v>539</v>
      </c>
      <c r="M272" s="30">
        <v>42515</v>
      </c>
      <c r="N272" s="30">
        <v>42521</v>
      </c>
      <c r="O272" s="30">
        <v>42523</v>
      </c>
      <c r="P272" s="27" t="s">
        <v>101</v>
      </c>
      <c r="Q272" s="32">
        <v>1</v>
      </c>
      <c r="R272" s="32">
        <v>8.8969328703703692</v>
      </c>
      <c r="S272" s="32">
        <v>22.154097222222202</v>
      </c>
      <c r="T272" s="32">
        <v>1</v>
      </c>
      <c r="U272" s="32">
        <v>1</v>
      </c>
      <c r="V272" s="32">
        <v>8.8962847222222194</v>
      </c>
      <c r="W272" s="32">
        <v>56</v>
      </c>
      <c r="X272" s="32">
        <v>12</v>
      </c>
      <c r="Y272" s="32">
        <v>9</v>
      </c>
      <c r="Z272" s="32">
        <v>3</v>
      </c>
      <c r="AA272" s="32">
        <v>1</v>
      </c>
      <c r="AC272" s="29"/>
    </row>
    <row r="273" spans="1:29" x14ac:dyDescent="0.25">
      <c r="A273" s="28" t="s">
        <v>483</v>
      </c>
      <c r="B273" s="28" t="s">
        <v>14</v>
      </c>
      <c r="C273" s="28" t="s">
        <v>13</v>
      </c>
      <c r="D273" s="28" t="s">
        <v>154</v>
      </c>
      <c r="E273" s="28" t="s">
        <v>21</v>
      </c>
      <c r="F273" s="28" t="s">
        <v>505</v>
      </c>
      <c r="G273" s="28" t="s">
        <v>512</v>
      </c>
      <c r="H273" s="28" t="s">
        <v>513</v>
      </c>
      <c r="I273" s="28" t="s">
        <v>516</v>
      </c>
      <c r="J273" s="28" t="s">
        <v>516</v>
      </c>
      <c r="K273" s="28" t="s">
        <v>529</v>
      </c>
      <c r="L273" s="28" t="s">
        <v>539</v>
      </c>
      <c r="M273" s="31">
        <v>42516</v>
      </c>
      <c r="N273" s="31"/>
      <c r="O273" s="31"/>
      <c r="P273" s="28" t="s">
        <v>101</v>
      </c>
      <c r="Q273" s="33">
        <v>1</v>
      </c>
      <c r="R273" s="33">
        <v>21.5738194444444</v>
      </c>
      <c r="S273" s="33">
        <v>33.556134259259302</v>
      </c>
      <c r="T273" s="33">
        <v>0</v>
      </c>
      <c r="U273" s="33">
        <v>1</v>
      </c>
      <c r="V273" s="33">
        <v>21.572812500000001</v>
      </c>
      <c r="W273" s="33">
        <v>56</v>
      </c>
      <c r="X273" s="33">
        <v>5.5</v>
      </c>
      <c r="Y273" s="33">
        <v>5.5</v>
      </c>
      <c r="Z273" s="33">
        <v>0</v>
      </c>
      <c r="AA273" s="33">
        <v>1</v>
      </c>
      <c r="AC273" s="29"/>
    </row>
    <row r="274" spans="1:29" x14ac:dyDescent="0.25">
      <c r="A274" s="27" t="s">
        <v>484</v>
      </c>
      <c r="B274" s="27" t="s">
        <v>14</v>
      </c>
      <c r="C274" s="27" t="s">
        <v>15</v>
      </c>
      <c r="D274" s="27" t="s">
        <v>154</v>
      </c>
      <c r="E274" s="27" t="s">
        <v>21</v>
      </c>
      <c r="F274" s="27" t="s">
        <v>505</v>
      </c>
      <c r="G274" s="27" t="s">
        <v>512</v>
      </c>
      <c r="H274" s="27" t="s">
        <v>513</v>
      </c>
      <c r="I274" s="27" t="s">
        <v>516</v>
      </c>
      <c r="J274" s="27" t="s">
        <v>516</v>
      </c>
      <c r="K274" s="27" t="s">
        <v>529</v>
      </c>
      <c r="L274" s="27" t="s">
        <v>539</v>
      </c>
      <c r="M274" s="30">
        <v>42521</v>
      </c>
      <c r="N274" s="30"/>
      <c r="O274" s="30"/>
      <c r="P274" s="27" t="s">
        <v>104</v>
      </c>
      <c r="Q274" s="32">
        <v>1</v>
      </c>
      <c r="R274" s="32">
        <v>2.9329861111111102</v>
      </c>
      <c r="S274" s="32">
        <v>2.9333449074074101</v>
      </c>
      <c r="T274" s="32">
        <v>0</v>
      </c>
      <c r="U274" s="32">
        <v>1</v>
      </c>
      <c r="V274" s="32">
        <v>2.92987268518519</v>
      </c>
      <c r="W274" s="32">
        <v>140</v>
      </c>
      <c r="X274" s="32">
        <v>6</v>
      </c>
      <c r="Y274" s="32">
        <v>6</v>
      </c>
      <c r="Z274" s="32">
        <v>0</v>
      </c>
      <c r="AA274" s="32">
        <v>1</v>
      </c>
      <c r="AC274" s="29"/>
    </row>
    <row r="275" spans="1:29" x14ac:dyDescent="0.25">
      <c r="A275" s="28" t="s">
        <v>485</v>
      </c>
      <c r="B275" s="28" t="s">
        <v>14</v>
      </c>
      <c r="C275" s="28" t="s">
        <v>15</v>
      </c>
      <c r="D275" s="28" t="s">
        <v>154</v>
      </c>
      <c r="E275" s="28" t="s">
        <v>21</v>
      </c>
      <c r="F275" s="28" t="s">
        <v>506</v>
      </c>
      <c r="G275" s="28" t="s">
        <v>511</v>
      </c>
      <c r="H275" s="28" t="s">
        <v>513</v>
      </c>
      <c r="I275" s="28" t="s">
        <v>517</v>
      </c>
      <c r="J275" s="28" t="s">
        <v>522</v>
      </c>
      <c r="K275" s="28" t="s">
        <v>529</v>
      </c>
      <c r="L275" s="28" t="s">
        <v>539</v>
      </c>
      <c r="M275" s="31">
        <v>42521</v>
      </c>
      <c r="N275" s="31">
        <v>42521</v>
      </c>
      <c r="O275" s="31">
        <v>42528</v>
      </c>
      <c r="P275" s="28" t="s">
        <v>109</v>
      </c>
      <c r="Q275" s="33">
        <v>1</v>
      </c>
      <c r="R275" s="33">
        <v>8.0092708333333302</v>
      </c>
      <c r="S275" s="33">
        <v>8.9521527777777798</v>
      </c>
      <c r="T275" s="33">
        <v>1</v>
      </c>
      <c r="U275" s="33">
        <v>1</v>
      </c>
      <c r="V275" s="33">
        <v>8.0084490740740701</v>
      </c>
      <c r="W275" s="33">
        <v>140</v>
      </c>
      <c r="X275" s="33">
        <v>18</v>
      </c>
      <c r="Y275" s="33">
        <v>5</v>
      </c>
      <c r="Z275" s="33">
        <v>13</v>
      </c>
      <c r="AA275" s="33">
        <v>1</v>
      </c>
      <c r="AC275" s="29"/>
    </row>
    <row r="276" spans="1:29" x14ac:dyDescent="0.25">
      <c r="A276" s="27" t="s">
        <v>486</v>
      </c>
      <c r="B276" s="27" t="s">
        <v>19</v>
      </c>
      <c r="C276" s="27" t="s">
        <v>13</v>
      </c>
      <c r="D276" s="27" t="s">
        <v>75</v>
      </c>
      <c r="E276" s="27" t="s">
        <v>28</v>
      </c>
      <c r="F276" s="27" t="s">
        <v>505</v>
      </c>
      <c r="G276" s="27" t="s">
        <v>156</v>
      </c>
      <c r="H276" s="27" t="s">
        <v>513</v>
      </c>
      <c r="I276" s="27" t="s">
        <v>517</v>
      </c>
      <c r="J276" s="27" t="s">
        <v>527</v>
      </c>
      <c r="K276" s="27" t="s">
        <v>529</v>
      </c>
      <c r="L276" s="27" t="s">
        <v>539</v>
      </c>
      <c r="M276" s="30">
        <v>42522</v>
      </c>
      <c r="N276" s="30">
        <v>42522</v>
      </c>
      <c r="O276" s="30">
        <v>42536</v>
      </c>
      <c r="P276" s="27" t="s">
        <v>102</v>
      </c>
      <c r="Q276" s="32">
        <v>1</v>
      </c>
      <c r="R276" s="32">
        <v>16.019027777777801</v>
      </c>
      <c r="S276" s="32">
        <v>16.0191319444444</v>
      </c>
      <c r="T276" s="32">
        <v>1</v>
      </c>
      <c r="U276" s="32">
        <v>1</v>
      </c>
      <c r="V276" s="32">
        <v>16.0185069444444</v>
      </c>
      <c r="W276" s="32">
        <v>45</v>
      </c>
      <c r="X276" s="32">
        <v>20.1666666666667</v>
      </c>
      <c r="Y276" s="32">
        <v>0</v>
      </c>
      <c r="Z276" s="32">
        <v>20.1666666666667</v>
      </c>
      <c r="AA276" s="32">
        <v>1</v>
      </c>
      <c r="AC276" s="29"/>
    </row>
    <row r="277" spans="1:29" x14ac:dyDescent="0.25">
      <c r="A277" s="28" t="s">
        <v>487</v>
      </c>
      <c r="B277" s="28" t="s">
        <v>14</v>
      </c>
      <c r="C277" s="28" t="s">
        <v>15</v>
      </c>
      <c r="D277" s="28" t="s">
        <v>154</v>
      </c>
      <c r="E277" s="28" t="s">
        <v>21</v>
      </c>
      <c r="F277" s="28" t="s">
        <v>506</v>
      </c>
      <c r="G277" s="28" t="s">
        <v>511</v>
      </c>
      <c r="H277" s="28" t="s">
        <v>513</v>
      </c>
      <c r="I277" s="28" t="s">
        <v>516</v>
      </c>
      <c r="J277" s="28" t="s">
        <v>516</v>
      </c>
      <c r="K277" s="28" t="s">
        <v>529</v>
      </c>
      <c r="L277" s="28" t="s">
        <v>539</v>
      </c>
      <c r="M277" s="31">
        <v>42523</v>
      </c>
      <c r="N277" s="31"/>
      <c r="O277" s="31"/>
      <c r="P277" s="28" t="s">
        <v>102</v>
      </c>
      <c r="Q277" s="33">
        <v>1</v>
      </c>
      <c r="R277" s="33">
        <v>5.7444328703703702</v>
      </c>
      <c r="S277" s="33">
        <v>5.7452662037037001</v>
      </c>
      <c r="T277" s="33">
        <v>0</v>
      </c>
      <c r="U277" s="33">
        <v>1</v>
      </c>
      <c r="V277" s="33">
        <v>5.73509259259259</v>
      </c>
      <c r="W277" s="33">
        <v>140</v>
      </c>
      <c r="X277" s="33">
        <v>6.5</v>
      </c>
      <c r="Y277" s="33">
        <v>6.5</v>
      </c>
      <c r="Z277" s="33">
        <v>0</v>
      </c>
      <c r="AA277" s="33">
        <v>1</v>
      </c>
      <c r="AC277" s="29"/>
    </row>
    <row r="278" spans="1:29" x14ac:dyDescent="0.25">
      <c r="A278" s="27" t="s">
        <v>488</v>
      </c>
      <c r="B278" s="27" t="s">
        <v>14</v>
      </c>
      <c r="C278" s="27" t="s">
        <v>15</v>
      </c>
      <c r="D278" s="27" t="s">
        <v>154</v>
      </c>
      <c r="E278" s="27" t="s">
        <v>21</v>
      </c>
      <c r="F278" s="27" t="s">
        <v>506</v>
      </c>
      <c r="G278" s="27" t="s">
        <v>511</v>
      </c>
      <c r="H278" s="27" t="s">
        <v>513</v>
      </c>
      <c r="I278" s="27" t="s">
        <v>516</v>
      </c>
      <c r="J278" s="27" t="s">
        <v>516</v>
      </c>
      <c r="K278" s="27" t="s">
        <v>529</v>
      </c>
      <c r="L278" s="27" t="s">
        <v>539</v>
      </c>
      <c r="M278" s="30">
        <v>42524</v>
      </c>
      <c r="N278" s="30"/>
      <c r="O278" s="30"/>
      <c r="P278" s="27" t="s">
        <v>101</v>
      </c>
      <c r="Q278" s="32">
        <v>1</v>
      </c>
      <c r="R278" s="32">
        <v>4.7418865740740701</v>
      </c>
      <c r="S278" s="32">
        <v>4.7708101851851898</v>
      </c>
      <c r="T278" s="32">
        <v>0</v>
      </c>
      <c r="U278" s="32">
        <v>1</v>
      </c>
      <c r="V278" s="32">
        <v>4.7335648148148204</v>
      </c>
      <c r="W278" s="32">
        <v>140</v>
      </c>
      <c r="X278" s="32">
        <v>4.5</v>
      </c>
      <c r="Y278" s="32">
        <v>4.5</v>
      </c>
      <c r="Z278" s="32">
        <v>0</v>
      </c>
      <c r="AA278" s="32">
        <v>1</v>
      </c>
      <c r="AC278" s="29"/>
    </row>
    <row r="279" spans="1:29" x14ac:dyDescent="0.25">
      <c r="A279" s="28" t="s">
        <v>489</v>
      </c>
      <c r="B279" s="28" t="s">
        <v>14</v>
      </c>
      <c r="C279" s="28" t="s">
        <v>13</v>
      </c>
      <c r="D279" s="28" t="s">
        <v>154</v>
      </c>
      <c r="E279" s="28" t="s">
        <v>21</v>
      </c>
      <c r="F279" s="28" t="s">
        <v>506</v>
      </c>
      <c r="G279" s="28" t="s">
        <v>511</v>
      </c>
      <c r="H279" s="28" t="s">
        <v>513</v>
      </c>
      <c r="I279" s="28" t="s">
        <v>517</v>
      </c>
      <c r="J279" s="28" t="s">
        <v>522</v>
      </c>
      <c r="K279" s="28" t="s">
        <v>588</v>
      </c>
      <c r="L279" s="28" t="s">
        <v>539</v>
      </c>
      <c r="M279" s="31">
        <v>42525</v>
      </c>
      <c r="N279" s="31">
        <v>42527</v>
      </c>
      <c r="O279" s="31">
        <v>42548</v>
      </c>
      <c r="P279" s="28" t="s">
        <v>98</v>
      </c>
      <c r="Q279" s="33">
        <v>1</v>
      </c>
      <c r="R279" s="33">
        <v>24.163935185185199</v>
      </c>
      <c r="S279" s="33">
        <v>32.940439814814802</v>
      </c>
      <c r="T279" s="33">
        <v>1</v>
      </c>
      <c r="U279" s="33">
        <v>1</v>
      </c>
      <c r="V279" s="33">
        <v>24.163495370370399</v>
      </c>
      <c r="W279" s="33">
        <v>56</v>
      </c>
      <c r="X279" s="33">
        <v>63</v>
      </c>
      <c r="Y279" s="33">
        <v>21</v>
      </c>
      <c r="Z279" s="33">
        <v>42</v>
      </c>
      <c r="AA279" s="33">
        <v>1</v>
      </c>
      <c r="AC279" s="29"/>
    </row>
    <row r="280" spans="1:29" x14ac:dyDescent="0.25">
      <c r="A280" s="27" t="s">
        <v>490</v>
      </c>
      <c r="B280" s="27" t="s">
        <v>14</v>
      </c>
      <c r="C280" s="27" t="s">
        <v>13</v>
      </c>
      <c r="D280" s="27" t="s">
        <v>154</v>
      </c>
      <c r="E280" s="27" t="s">
        <v>21</v>
      </c>
      <c r="F280" s="27" t="s">
        <v>505</v>
      </c>
      <c r="G280" s="27" t="s">
        <v>512</v>
      </c>
      <c r="H280" s="27" t="s">
        <v>513</v>
      </c>
      <c r="I280" s="27" t="s">
        <v>517</v>
      </c>
      <c r="J280" s="27" t="s">
        <v>527</v>
      </c>
      <c r="K280" s="27" t="s">
        <v>529</v>
      </c>
      <c r="L280" s="27" t="s">
        <v>539</v>
      </c>
      <c r="M280" s="30">
        <v>42527</v>
      </c>
      <c r="N280" s="30">
        <v>42528</v>
      </c>
      <c r="O280" s="30">
        <v>42565</v>
      </c>
      <c r="P280" s="27" t="s">
        <v>107</v>
      </c>
      <c r="Q280" s="32">
        <v>1</v>
      </c>
      <c r="R280" s="32">
        <v>30.6501736111111</v>
      </c>
      <c r="S280" s="32">
        <v>38.297222222222203</v>
      </c>
      <c r="T280" s="32">
        <v>1</v>
      </c>
      <c r="U280" s="32">
        <v>1</v>
      </c>
      <c r="V280" s="32">
        <v>30.649282407407402</v>
      </c>
      <c r="W280" s="32">
        <v>56</v>
      </c>
      <c r="X280" s="32">
        <v>24</v>
      </c>
      <c r="Y280" s="32">
        <v>9</v>
      </c>
      <c r="Z280" s="32">
        <v>15</v>
      </c>
      <c r="AA280" s="32">
        <v>1</v>
      </c>
      <c r="AC280" s="29"/>
    </row>
    <row r="281" spans="1:29" x14ac:dyDescent="0.25">
      <c r="A281" s="28" t="s">
        <v>491</v>
      </c>
      <c r="B281" s="28" t="s">
        <v>19</v>
      </c>
      <c r="C281" s="28" t="s">
        <v>16</v>
      </c>
      <c r="D281" s="28" t="s">
        <v>154</v>
      </c>
      <c r="E281" s="28" t="s">
        <v>21</v>
      </c>
      <c r="F281" s="28" t="s">
        <v>505</v>
      </c>
      <c r="G281" s="28" t="s">
        <v>156</v>
      </c>
      <c r="H281" s="28" t="s">
        <v>513</v>
      </c>
      <c r="I281" s="28" t="s">
        <v>517</v>
      </c>
      <c r="J281" s="28" t="s">
        <v>523</v>
      </c>
      <c r="K281" s="28" t="s">
        <v>529</v>
      </c>
      <c r="L281" s="28" t="s">
        <v>539</v>
      </c>
      <c r="M281" s="31">
        <v>42527</v>
      </c>
      <c r="N281" s="31">
        <v>42528</v>
      </c>
      <c r="O281" s="31">
        <v>42536</v>
      </c>
      <c r="P281" s="28" t="s">
        <v>110</v>
      </c>
      <c r="Q281" s="33">
        <v>1</v>
      </c>
      <c r="R281" s="33">
        <v>11.2741666666667</v>
      </c>
      <c r="S281" s="33">
        <v>16.052268518518499</v>
      </c>
      <c r="T281" s="33">
        <v>1</v>
      </c>
      <c r="U281" s="33">
        <v>1</v>
      </c>
      <c r="V281" s="33">
        <v>9.2824074074074101</v>
      </c>
      <c r="W281" s="33">
        <v>28</v>
      </c>
      <c r="X281" s="33">
        <v>2</v>
      </c>
      <c r="Y281" s="33">
        <v>1</v>
      </c>
      <c r="Z281" s="33">
        <v>1</v>
      </c>
      <c r="AA281" s="33">
        <v>1</v>
      </c>
      <c r="AC281" s="29"/>
    </row>
    <row r="282" spans="1:29" x14ac:dyDescent="0.25">
      <c r="A282" s="27" t="s">
        <v>492</v>
      </c>
      <c r="B282" s="27" t="s">
        <v>14</v>
      </c>
      <c r="C282" s="27" t="s">
        <v>15</v>
      </c>
      <c r="D282" s="27" t="s">
        <v>154</v>
      </c>
      <c r="E282" s="27" t="s">
        <v>21</v>
      </c>
      <c r="F282" s="27" t="s">
        <v>505</v>
      </c>
      <c r="G282" s="27" t="s">
        <v>512</v>
      </c>
      <c r="H282" s="27" t="s">
        <v>513</v>
      </c>
      <c r="I282" s="27" t="s">
        <v>516</v>
      </c>
      <c r="J282" s="27" t="s">
        <v>516</v>
      </c>
      <c r="K282" s="27" t="s">
        <v>529</v>
      </c>
      <c r="L282" s="27" t="s">
        <v>539</v>
      </c>
      <c r="M282" s="30">
        <v>42527</v>
      </c>
      <c r="N282" s="30"/>
      <c r="O282" s="30"/>
      <c r="P282" s="27" t="s">
        <v>99</v>
      </c>
      <c r="Q282" s="32">
        <v>1</v>
      </c>
      <c r="R282" s="32">
        <v>2.95418981481482</v>
      </c>
      <c r="S282" s="32">
        <v>2.9549537037036999</v>
      </c>
      <c r="T282" s="32">
        <v>0</v>
      </c>
      <c r="U282" s="32">
        <v>1</v>
      </c>
      <c r="V282" s="32">
        <v>2.95378472222222</v>
      </c>
      <c r="W282" s="32">
        <v>140</v>
      </c>
      <c r="X282" s="32">
        <v>13</v>
      </c>
      <c r="Y282" s="32">
        <v>13</v>
      </c>
      <c r="Z282" s="32">
        <v>0</v>
      </c>
      <c r="AA282" s="32">
        <v>1</v>
      </c>
      <c r="AC282" s="29"/>
    </row>
    <row r="283" spans="1:29" x14ac:dyDescent="0.25">
      <c r="A283" s="28" t="s">
        <v>493</v>
      </c>
      <c r="B283" s="28" t="s">
        <v>14</v>
      </c>
      <c r="C283" s="28" t="s">
        <v>15</v>
      </c>
      <c r="D283" s="28" t="s">
        <v>154</v>
      </c>
      <c r="E283" s="28" t="s">
        <v>21</v>
      </c>
      <c r="F283" s="28" t="s">
        <v>505</v>
      </c>
      <c r="G283" s="28" t="s">
        <v>512</v>
      </c>
      <c r="H283" s="28" t="s">
        <v>513</v>
      </c>
      <c r="I283" s="28" t="s">
        <v>516</v>
      </c>
      <c r="J283" s="28" t="s">
        <v>516</v>
      </c>
      <c r="K283" s="28" t="s">
        <v>529</v>
      </c>
      <c r="L283" s="28" t="s">
        <v>539</v>
      </c>
      <c r="M283" s="31">
        <v>42527</v>
      </c>
      <c r="N283" s="31"/>
      <c r="O283" s="31"/>
      <c r="P283" s="28" t="s">
        <v>99</v>
      </c>
      <c r="Q283" s="33">
        <v>1</v>
      </c>
      <c r="R283" s="33">
        <v>2.9001157407407399</v>
      </c>
      <c r="S283" s="33">
        <v>2.9003587962962998</v>
      </c>
      <c r="T283" s="33">
        <v>0</v>
      </c>
      <c r="U283" s="33">
        <v>1</v>
      </c>
      <c r="V283" s="33">
        <v>2.8997453703703702</v>
      </c>
      <c r="W283" s="33">
        <v>140</v>
      </c>
      <c r="X283" s="33">
        <v>13</v>
      </c>
      <c r="Y283" s="33">
        <v>13</v>
      </c>
      <c r="Z283" s="33">
        <v>0</v>
      </c>
      <c r="AA283" s="33">
        <v>1</v>
      </c>
      <c r="AC283" s="29"/>
    </row>
    <row r="284" spans="1:29" x14ac:dyDescent="0.25">
      <c r="A284" s="27" t="s">
        <v>494</v>
      </c>
      <c r="B284" s="27" t="s">
        <v>14</v>
      </c>
      <c r="C284" s="27" t="s">
        <v>13</v>
      </c>
      <c r="D284" s="27" t="s">
        <v>154</v>
      </c>
      <c r="E284" s="27" t="s">
        <v>21</v>
      </c>
      <c r="F284" s="27" t="s">
        <v>505</v>
      </c>
      <c r="G284" s="27" t="s">
        <v>512</v>
      </c>
      <c r="H284" s="27" t="s">
        <v>513</v>
      </c>
      <c r="I284" s="27" t="s">
        <v>516</v>
      </c>
      <c r="J284" s="27" t="s">
        <v>516</v>
      </c>
      <c r="K284" s="27" t="s">
        <v>529</v>
      </c>
      <c r="L284" s="27" t="s">
        <v>539</v>
      </c>
      <c r="M284" s="30">
        <v>42528</v>
      </c>
      <c r="N284" s="30"/>
      <c r="O284" s="30"/>
      <c r="P284" s="27" t="s">
        <v>101</v>
      </c>
      <c r="Q284" s="32">
        <v>1</v>
      </c>
      <c r="R284" s="32">
        <v>2.9995254629629602</v>
      </c>
      <c r="S284" s="32">
        <v>10.0790509259259</v>
      </c>
      <c r="T284" s="32">
        <v>0</v>
      </c>
      <c r="U284" s="32">
        <v>1</v>
      </c>
      <c r="V284" s="32">
        <v>2.9983912037036999</v>
      </c>
      <c r="W284" s="32">
        <v>56</v>
      </c>
      <c r="X284" s="32">
        <v>3.5</v>
      </c>
      <c r="Y284" s="32">
        <v>3.5</v>
      </c>
      <c r="Z284" s="32">
        <v>0</v>
      </c>
      <c r="AA284" s="32">
        <v>1</v>
      </c>
      <c r="AC284" s="29"/>
    </row>
    <row r="285" spans="1:29" x14ac:dyDescent="0.25">
      <c r="A285" s="28" t="s">
        <v>495</v>
      </c>
      <c r="B285" s="28" t="s">
        <v>14</v>
      </c>
      <c r="C285" s="28" t="s">
        <v>17</v>
      </c>
      <c r="D285" s="28" t="s">
        <v>154</v>
      </c>
      <c r="E285" s="28" t="s">
        <v>21</v>
      </c>
      <c r="F285" s="28" t="s">
        <v>506</v>
      </c>
      <c r="G285" s="28" t="s">
        <v>511</v>
      </c>
      <c r="H285" s="28" t="s">
        <v>513</v>
      </c>
      <c r="I285" s="28" t="s">
        <v>517</v>
      </c>
      <c r="J285" s="28" t="s">
        <v>519</v>
      </c>
      <c r="K285" s="28" t="s">
        <v>529</v>
      </c>
      <c r="L285" s="28" t="s">
        <v>539</v>
      </c>
      <c r="M285" s="31">
        <v>42530</v>
      </c>
      <c r="N285" s="31">
        <v>42530</v>
      </c>
      <c r="O285" s="31">
        <v>42530</v>
      </c>
      <c r="P285" s="28" t="s">
        <v>112</v>
      </c>
      <c r="Q285" s="33">
        <v>1</v>
      </c>
      <c r="R285" s="33">
        <v>1.5393518518518499E-3</v>
      </c>
      <c r="S285" s="33">
        <v>0.105347222222222</v>
      </c>
      <c r="T285" s="33">
        <v>1</v>
      </c>
      <c r="U285" s="33">
        <v>1</v>
      </c>
      <c r="V285" s="33">
        <v>9.7222222222222198E-4</v>
      </c>
      <c r="W285" s="33">
        <v>3</v>
      </c>
      <c r="X285" s="33">
        <v>5.8333333333333304</v>
      </c>
      <c r="Y285" s="33">
        <v>4.5</v>
      </c>
      <c r="Z285" s="33">
        <v>1.3333333333333299</v>
      </c>
      <c r="AA285" s="33">
        <v>1</v>
      </c>
      <c r="AC285" s="29"/>
    </row>
    <row r="286" spans="1:29" x14ac:dyDescent="0.25">
      <c r="A286" s="27" t="s">
        <v>496</v>
      </c>
      <c r="B286" s="27" t="s">
        <v>14</v>
      </c>
      <c r="C286" s="27" t="s">
        <v>13</v>
      </c>
      <c r="D286" s="27" t="s">
        <v>154</v>
      </c>
      <c r="E286" s="27" t="s">
        <v>21</v>
      </c>
      <c r="F286" s="27" t="s">
        <v>505</v>
      </c>
      <c r="G286" s="27" t="s">
        <v>512</v>
      </c>
      <c r="H286" s="27" t="s">
        <v>513</v>
      </c>
      <c r="I286" s="27" t="s">
        <v>516</v>
      </c>
      <c r="J286" s="27" t="s">
        <v>516</v>
      </c>
      <c r="K286" s="27" t="s">
        <v>529</v>
      </c>
      <c r="L286" s="27" t="s">
        <v>539</v>
      </c>
      <c r="M286" s="30">
        <v>42530</v>
      </c>
      <c r="N286" s="30"/>
      <c r="O286" s="30"/>
      <c r="P286" s="27" t="s">
        <v>112</v>
      </c>
      <c r="Q286" s="32">
        <v>1</v>
      </c>
      <c r="R286" s="32">
        <v>4.5143634259259304</v>
      </c>
      <c r="S286" s="32">
        <v>14.4836226851852</v>
      </c>
      <c r="T286" s="32">
        <v>0</v>
      </c>
      <c r="U286" s="32">
        <v>1</v>
      </c>
      <c r="V286" s="32">
        <v>4.5138888888888902</v>
      </c>
      <c r="W286" s="32">
        <v>56</v>
      </c>
      <c r="X286" s="32">
        <v>17.5</v>
      </c>
      <c r="Y286" s="32">
        <v>17.5</v>
      </c>
      <c r="Z286" s="32">
        <v>0</v>
      </c>
      <c r="AA286" s="32">
        <v>1</v>
      </c>
      <c r="AC286" s="29"/>
    </row>
    <row r="287" spans="1:29" x14ac:dyDescent="0.25">
      <c r="A287" s="28" t="s">
        <v>497</v>
      </c>
      <c r="B287" s="28" t="s">
        <v>14</v>
      </c>
      <c r="C287" s="28" t="s">
        <v>15</v>
      </c>
      <c r="D287" s="28" t="s">
        <v>154</v>
      </c>
      <c r="E287" s="28" t="s">
        <v>21</v>
      </c>
      <c r="F287" s="28" t="s">
        <v>506</v>
      </c>
      <c r="G287" s="28" t="s">
        <v>511</v>
      </c>
      <c r="H287" s="28" t="s">
        <v>513</v>
      </c>
      <c r="I287" s="28" t="s">
        <v>516</v>
      </c>
      <c r="J287" s="28" t="s">
        <v>516</v>
      </c>
      <c r="K287" s="28" t="s">
        <v>529</v>
      </c>
      <c r="L287" s="28" t="s">
        <v>539</v>
      </c>
      <c r="M287" s="31">
        <v>42530</v>
      </c>
      <c r="N287" s="31"/>
      <c r="O287" s="31"/>
      <c r="P287" s="28" t="s">
        <v>99</v>
      </c>
      <c r="Q287" s="33">
        <v>1</v>
      </c>
      <c r="R287" s="33">
        <v>5.1288078703703697</v>
      </c>
      <c r="S287" s="33">
        <v>5.1296180555555599</v>
      </c>
      <c r="T287" s="33">
        <v>0</v>
      </c>
      <c r="U287" s="33">
        <v>1</v>
      </c>
      <c r="V287" s="33">
        <v>5.1285069444444398</v>
      </c>
      <c r="W287" s="33">
        <v>140</v>
      </c>
      <c r="X287" s="33">
        <v>0</v>
      </c>
      <c r="Y287" s="33">
        <v>0</v>
      </c>
      <c r="Z287" s="33">
        <v>0</v>
      </c>
      <c r="AA287" s="33">
        <v>1</v>
      </c>
      <c r="AC287" s="29"/>
    </row>
    <row r="288" spans="1:29" x14ac:dyDescent="0.25">
      <c r="A288" s="27" t="s">
        <v>569</v>
      </c>
      <c r="B288" s="27" t="s">
        <v>14</v>
      </c>
      <c r="C288" s="27" t="s">
        <v>16</v>
      </c>
      <c r="D288" s="27" t="s">
        <v>154</v>
      </c>
      <c r="E288" s="27" t="s">
        <v>21</v>
      </c>
      <c r="F288" s="27" t="s">
        <v>506</v>
      </c>
      <c r="G288" s="27" t="s">
        <v>511</v>
      </c>
      <c r="H288" s="27" t="s">
        <v>513</v>
      </c>
      <c r="I288" s="27" t="s">
        <v>516</v>
      </c>
      <c r="J288" s="27" t="s">
        <v>516</v>
      </c>
      <c r="K288" s="27" t="s">
        <v>529</v>
      </c>
      <c r="L288" s="27" t="s">
        <v>539</v>
      </c>
      <c r="M288" s="30">
        <v>42534</v>
      </c>
      <c r="N288" s="30"/>
      <c r="O288" s="30"/>
      <c r="P288" s="27" t="s">
        <v>107</v>
      </c>
      <c r="Q288" s="32">
        <v>1</v>
      </c>
      <c r="R288" s="32">
        <v>10.4054050925926</v>
      </c>
      <c r="S288" s="32">
        <v>10.405775462963</v>
      </c>
      <c r="T288" s="32">
        <v>0</v>
      </c>
      <c r="U288" s="32">
        <v>1</v>
      </c>
      <c r="V288" s="32">
        <v>10.4047106481482</v>
      </c>
      <c r="W288" s="32">
        <v>28</v>
      </c>
      <c r="X288" s="32">
        <v>18</v>
      </c>
      <c r="Y288" s="32">
        <v>18</v>
      </c>
      <c r="Z288" s="32">
        <v>0</v>
      </c>
      <c r="AA288" s="32">
        <v>1</v>
      </c>
      <c r="AC288" s="29"/>
    </row>
    <row r="289" spans="1:29" x14ac:dyDescent="0.25">
      <c r="A289" s="28" t="s">
        <v>570</v>
      </c>
      <c r="B289" s="28" t="s">
        <v>14</v>
      </c>
      <c r="C289" s="28" t="s">
        <v>15</v>
      </c>
      <c r="D289" s="28" t="s">
        <v>154</v>
      </c>
      <c r="E289" s="28" t="s">
        <v>21</v>
      </c>
      <c r="F289" s="28" t="s">
        <v>505</v>
      </c>
      <c r="G289" s="28" t="s">
        <v>512</v>
      </c>
      <c r="H289" s="28" t="s">
        <v>513</v>
      </c>
      <c r="I289" s="28" t="s">
        <v>516</v>
      </c>
      <c r="J289" s="28" t="s">
        <v>516</v>
      </c>
      <c r="K289" s="28" t="s">
        <v>529</v>
      </c>
      <c r="L289" s="28" t="s">
        <v>539</v>
      </c>
      <c r="M289" s="31">
        <v>42534</v>
      </c>
      <c r="N289" s="31"/>
      <c r="O289" s="31"/>
      <c r="P289" s="28" t="s">
        <v>102</v>
      </c>
      <c r="Q289" s="33">
        <v>1</v>
      </c>
      <c r="R289" s="33">
        <v>1.15855324074074</v>
      </c>
      <c r="S289" s="33">
        <v>1.8678009259259301</v>
      </c>
      <c r="T289" s="33">
        <v>0</v>
      </c>
      <c r="U289" s="33">
        <v>1</v>
      </c>
      <c r="V289" s="33">
        <v>1.15824074074074</v>
      </c>
      <c r="W289" s="33">
        <v>140</v>
      </c>
      <c r="X289" s="33">
        <v>6</v>
      </c>
      <c r="Y289" s="33">
        <v>6</v>
      </c>
      <c r="Z289" s="33">
        <v>0</v>
      </c>
      <c r="AA289" s="33">
        <v>1</v>
      </c>
      <c r="AC289" s="29"/>
    </row>
    <row r="290" spans="1:29" x14ac:dyDescent="0.25">
      <c r="A290" s="27" t="s">
        <v>571</v>
      </c>
      <c r="B290" s="27" t="s">
        <v>14</v>
      </c>
      <c r="C290" s="27" t="s">
        <v>16</v>
      </c>
      <c r="D290" s="27" t="s">
        <v>154</v>
      </c>
      <c r="E290" s="27" t="s">
        <v>21</v>
      </c>
      <c r="F290" s="27" t="s">
        <v>506</v>
      </c>
      <c r="G290" s="27" t="s">
        <v>511</v>
      </c>
      <c r="H290" s="27" t="s">
        <v>513</v>
      </c>
      <c r="I290" s="27" t="s">
        <v>516</v>
      </c>
      <c r="J290" s="27" t="s">
        <v>516</v>
      </c>
      <c r="K290" s="27" t="s">
        <v>529</v>
      </c>
      <c r="L290" s="27" t="s">
        <v>539</v>
      </c>
      <c r="M290" s="30">
        <v>42534</v>
      </c>
      <c r="N290" s="30"/>
      <c r="O290" s="30"/>
      <c r="P290" s="27" t="s">
        <v>99</v>
      </c>
      <c r="Q290" s="32">
        <v>1</v>
      </c>
      <c r="R290" s="32">
        <v>10.0957291666667</v>
      </c>
      <c r="S290" s="32">
        <v>10.0959837962963</v>
      </c>
      <c r="T290" s="32">
        <v>0</v>
      </c>
      <c r="U290" s="32">
        <v>1</v>
      </c>
      <c r="V290" s="32">
        <v>10.0952893518519</v>
      </c>
      <c r="W290" s="32">
        <v>28</v>
      </c>
      <c r="X290" s="32">
        <v>19</v>
      </c>
      <c r="Y290" s="32">
        <v>19</v>
      </c>
      <c r="Z290" s="32">
        <v>0</v>
      </c>
      <c r="AA290" s="32">
        <v>1</v>
      </c>
      <c r="AC290" s="29"/>
    </row>
    <row r="291" spans="1:29" x14ac:dyDescent="0.25">
      <c r="A291" s="28" t="s">
        <v>572</v>
      </c>
      <c r="B291" s="28" t="s">
        <v>14</v>
      </c>
      <c r="C291" s="28" t="s">
        <v>13</v>
      </c>
      <c r="D291" s="28" t="s">
        <v>154</v>
      </c>
      <c r="E291" s="28" t="s">
        <v>21</v>
      </c>
      <c r="F291" s="28" t="s">
        <v>505</v>
      </c>
      <c r="G291" s="28" t="s">
        <v>512</v>
      </c>
      <c r="H291" s="28" t="s">
        <v>513</v>
      </c>
      <c r="I291" s="28" t="s">
        <v>516</v>
      </c>
      <c r="J291" s="28" t="s">
        <v>516</v>
      </c>
      <c r="K291" s="28" t="s">
        <v>529</v>
      </c>
      <c r="L291" s="28" t="s">
        <v>539</v>
      </c>
      <c r="M291" s="31">
        <v>42535</v>
      </c>
      <c r="N291" s="31"/>
      <c r="O291" s="31"/>
      <c r="P291" s="28" t="s">
        <v>104</v>
      </c>
      <c r="Q291" s="33">
        <v>1</v>
      </c>
      <c r="R291" s="33">
        <v>1.46152777777778</v>
      </c>
      <c r="S291" s="33">
        <v>43.030127314814798</v>
      </c>
      <c r="T291" s="33">
        <v>0</v>
      </c>
      <c r="U291" s="33">
        <v>1</v>
      </c>
      <c r="V291" s="33">
        <v>1.4611574074074101</v>
      </c>
      <c r="W291" s="33">
        <v>56</v>
      </c>
      <c r="X291" s="33">
        <v>17</v>
      </c>
      <c r="Y291" s="33">
        <v>17</v>
      </c>
      <c r="Z291" s="33">
        <v>0</v>
      </c>
      <c r="AA291" s="33">
        <v>1</v>
      </c>
      <c r="AC291" s="29"/>
    </row>
    <row r="292" spans="1:29" x14ac:dyDescent="0.25">
      <c r="A292" s="27" t="s">
        <v>573</v>
      </c>
      <c r="B292" s="27" t="s">
        <v>14</v>
      </c>
      <c r="C292" s="27" t="s">
        <v>13</v>
      </c>
      <c r="D292" s="27" t="s">
        <v>154</v>
      </c>
      <c r="E292" s="27" t="s">
        <v>21</v>
      </c>
      <c r="F292" s="27" t="s">
        <v>506</v>
      </c>
      <c r="G292" s="27" t="s">
        <v>511</v>
      </c>
      <c r="H292" s="27" t="s">
        <v>513</v>
      </c>
      <c r="I292" s="27" t="s">
        <v>516</v>
      </c>
      <c r="J292" s="27" t="s">
        <v>516</v>
      </c>
      <c r="K292" s="27" t="s">
        <v>529</v>
      </c>
      <c r="L292" s="27" t="s">
        <v>539</v>
      </c>
      <c r="M292" s="30">
        <v>42535</v>
      </c>
      <c r="N292" s="30"/>
      <c r="O292" s="30"/>
      <c r="P292" s="27" t="s">
        <v>105</v>
      </c>
      <c r="Q292" s="32">
        <v>1</v>
      </c>
      <c r="R292" s="32">
        <v>2.9232175925925898</v>
      </c>
      <c r="S292" s="32">
        <v>14.888912037037001</v>
      </c>
      <c r="T292" s="32">
        <v>0</v>
      </c>
      <c r="U292" s="32">
        <v>1</v>
      </c>
      <c r="V292" s="32">
        <v>2.9219675925925901</v>
      </c>
      <c r="W292" s="32">
        <v>56</v>
      </c>
      <c r="X292" s="32">
        <v>10</v>
      </c>
      <c r="Y292" s="32">
        <v>10</v>
      </c>
      <c r="Z292" s="32">
        <v>0</v>
      </c>
      <c r="AA292" s="32">
        <v>1</v>
      </c>
      <c r="AC292" s="29"/>
    </row>
    <row r="293" spans="1:29" x14ac:dyDescent="0.25">
      <c r="A293" s="28" t="s">
        <v>574</v>
      </c>
      <c r="B293" s="28" t="s">
        <v>14</v>
      </c>
      <c r="C293" s="28" t="s">
        <v>13</v>
      </c>
      <c r="D293" s="28" t="s">
        <v>154</v>
      </c>
      <c r="E293" s="28" t="s">
        <v>21</v>
      </c>
      <c r="F293" s="28" t="s">
        <v>505</v>
      </c>
      <c r="G293" s="28" t="s">
        <v>512</v>
      </c>
      <c r="H293" s="28" t="s">
        <v>513</v>
      </c>
      <c r="I293" s="28" t="s">
        <v>516</v>
      </c>
      <c r="J293" s="28" t="s">
        <v>516</v>
      </c>
      <c r="K293" s="28" t="s">
        <v>529</v>
      </c>
      <c r="L293" s="28" t="s">
        <v>539</v>
      </c>
      <c r="M293" s="31">
        <v>42537</v>
      </c>
      <c r="N293" s="31"/>
      <c r="O293" s="31"/>
      <c r="P293" s="28" t="s">
        <v>101</v>
      </c>
      <c r="Q293" s="33">
        <v>1</v>
      </c>
      <c r="R293" s="33">
        <v>1.20233796296296</v>
      </c>
      <c r="S293" s="33">
        <v>14.1575694444444</v>
      </c>
      <c r="T293" s="33">
        <v>0</v>
      </c>
      <c r="U293" s="33">
        <v>1</v>
      </c>
      <c r="V293" s="33">
        <v>1.20046296296296</v>
      </c>
      <c r="W293" s="33">
        <v>56</v>
      </c>
      <c r="X293" s="33">
        <v>7</v>
      </c>
      <c r="Y293" s="33">
        <v>7</v>
      </c>
      <c r="Z293" s="33">
        <v>0</v>
      </c>
      <c r="AA293" s="33">
        <v>1</v>
      </c>
      <c r="AC293" s="29"/>
    </row>
    <row r="294" spans="1:29" x14ac:dyDescent="0.25">
      <c r="A294" s="27" t="s">
        <v>575</v>
      </c>
      <c r="B294" s="27" t="s">
        <v>14</v>
      </c>
      <c r="C294" s="27" t="s">
        <v>13</v>
      </c>
      <c r="D294" s="27" t="s">
        <v>154</v>
      </c>
      <c r="E294" s="27" t="s">
        <v>21</v>
      </c>
      <c r="F294" s="27" t="s">
        <v>506</v>
      </c>
      <c r="G294" s="27" t="s">
        <v>511</v>
      </c>
      <c r="H294" s="27" t="s">
        <v>513</v>
      </c>
      <c r="I294" s="27" t="s">
        <v>517</v>
      </c>
      <c r="J294" s="27" t="s">
        <v>522</v>
      </c>
      <c r="K294" s="27" t="s">
        <v>593</v>
      </c>
      <c r="L294" s="27" t="s">
        <v>539</v>
      </c>
      <c r="M294" s="30">
        <v>42541</v>
      </c>
      <c r="N294" s="30">
        <v>42545</v>
      </c>
      <c r="O294" s="30">
        <v>42562</v>
      </c>
      <c r="P294" s="27" t="s">
        <v>98</v>
      </c>
      <c r="Q294" s="32">
        <v>1</v>
      </c>
      <c r="R294" s="32">
        <v>22.3563310185185</v>
      </c>
      <c r="S294" s="32">
        <v>80.185717592592596</v>
      </c>
      <c r="T294" s="32">
        <v>1</v>
      </c>
      <c r="U294" s="32">
        <v>1</v>
      </c>
      <c r="V294" s="32">
        <v>22.344571759259299</v>
      </c>
      <c r="W294" s="32">
        <v>56</v>
      </c>
      <c r="X294" s="32">
        <v>25.5</v>
      </c>
      <c r="Y294" s="32">
        <v>13.5</v>
      </c>
      <c r="Z294" s="32">
        <v>12</v>
      </c>
      <c r="AA294" s="32">
        <v>1</v>
      </c>
      <c r="AC294" s="29"/>
    </row>
    <row r="295" spans="1:29" x14ac:dyDescent="0.25">
      <c r="A295" s="28" t="s">
        <v>576</v>
      </c>
      <c r="B295" s="28" t="s">
        <v>14</v>
      </c>
      <c r="C295" s="28" t="s">
        <v>15</v>
      </c>
      <c r="D295" s="28" t="s">
        <v>154</v>
      </c>
      <c r="E295" s="28" t="s">
        <v>21</v>
      </c>
      <c r="F295" s="28" t="s">
        <v>505</v>
      </c>
      <c r="G295" s="28" t="s">
        <v>512</v>
      </c>
      <c r="H295" s="28" t="s">
        <v>513</v>
      </c>
      <c r="I295" s="28" t="s">
        <v>516</v>
      </c>
      <c r="J295" s="28" t="s">
        <v>516</v>
      </c>
      <c r="K295" s="28" t="s">
        <v>529</v>
      </c>
      <c r="L295" s="28" t="s">
        <v>539</v>
      </c>
      <c r="M295" s="31">
        <v>42543</v>
      </c>
      <c r="N295" s="31"/>
      <c r="O295" s="31"/>
      <c r="P295" s="28" t="s">
        <v>99</v>
      </c>
      <c r="Q295" s="33">
        <v>1</v>
      </c>
      <c r="R295" s="33">
        <v>16.2587962962963</v>
      </c>
      <c r="S295" s="33">
        <v>16.259027777777799</v>
      </c>
      <c r="T295" s="33">
        <v>0</v>
      </c>
      <c r="U295" s="33">
        <v>1</v>
      </c>
      <c r="V295" s="33">
        <v>16.2451851851852</v>
      </c>
      <c r="W295" s="33">
        <v>140</v>
      </c>
      <c r="X295" s="33">
        <v>0</v>
      </c>
      <c r="Y295" s="33">
        <v>0</v>
      </c>
      <c r="Z295" s="33">
        <v>0</v>
      </c>
      <c r="AA295" s="33">
        <v>1</v>
      </c>
      <c r="AC295" s="29"/>
    </row>
    <row r="296" spans="1:29" x14ac:dyDescent="0.25">
      <c r="A296" s="27" t="s">
        <v>577</v>
      </c>
      <c r="B296" s="27" t="s">
        <v>14</v>
      </c>
      <c r="C296" s="27" t="s">
        <v>15</v>
      </c>
      <c r="D296" s="27" t="s">
        <v>154</v>
      </c>
      <c r="E296" s="27" t="s">
        <v>21</v>
      </c>
      <c r="F296" s="27" t="s">
        <v>506</v>
      </c>
      <c r="G296" s="27" t="s">
        <v>511</v>
      </c>
      <c r="H296" s="27" t="s">
        <v>513</v>
      </c>
      <c r="I296" s="27" t="s">
        <v>516</v>
      </c>
      <c r="J296" s="27" t="s">
        <v>516</v>
      </c>
      <c r="K296" s="27" t="s">
        <v>529</v>
      </c>
      <c r="L296" s="27" t="s">
        <v>539</v>
      </c>
      <c r="M296" s="30">
        <v>42543</v>
      </c>
      <c r="N296" s="30"/>
      <c r="O296" s="30"/>
      <c r="P296" s="27" t="s">
        <v>118</v>
      </c>
      <c r="Q296" s="32">
        <v>1</v>
      </c>
      <c r="R296" s="32">
        <v>7.7768518518518501</v>
      </c>
      <c r="S296" s="32">
        <v>7.7770717592592602</v>
      </c>
      <c r="T296" s="32">
        <v>0</v>
      </c>
      <c r="U296" s="32">
        <v>1</v>
      </c>
      <c r="V296" s="32">
        <v>7.7696296296296303</v>
      </c>
      <c r="W296" s="32">
        <v>140</v>
      </c>
      <c r="X296" s="32">
        <v>13</v>
      </c>
      <c r="Y296" s="32">
        <v>13</v>
      </c>
      <c r="Z296" s="32">
        <v>0</v>
      </c>
      <c r="AA296" s="32">
        <v>1</v>
      </c>
      <c r="AC296" s="29"/>
    </row>
    <row r="297" spans="1:29" x14ac:dyDescent="0.25">
      <c r="A297" s="28" t="s">
        <v>578</v>
      </c>
      <c r="B297" s="28" t="s">
        <v>14</v>
      </c>
      <c r="C297" s="28" t="s">
        <v>13</v>
      </c>
      <c r="D297" s="28" t="s">
        <v>154</v>
      </c>
      <c r="E297" s="28" t="s">
        <v>21</v>
      </c>
      <c r="F297" s="28" t="s">
        <v>506</v>
      </c>
      <c r="G297" s="28" t="s">
        <v>511</v>
      </c>
      <c r="H297" s="28" t="s">
        <v>513</v>
      </c>
      <c r="I297" s="28" t="s">
        <v>516</v>
      </c>
      <c r="J297" s="28" t="s">
        <v>516</v>
      </c>
      <c r="K297" s="28" t="s">
        <v>529</v>
      </c>
      <c r="L297" s="28" t="s">
        <v>539</v>
      </c>
      <c r="M297" s="31">
        <v>42543</v>
      </c>
      <c r="N297" s="31"/>
      <c r="O297" s="31"/>
      <c r="P297" s="28" t="s">
        <v>99</v>
      </c>
      <c r="Q297" s="33">
        <v>1</v>
      </c>
      <c r="R297" s="33">
        <v>23.246458333333301</v>
      </c>
      <c r="S297" s="33">
        <v>23.246736111111101</v>
      </c>
      <c r="T297" s="33">
        <v>0</v>
      </c>
      <c r="U297" s="33">
        <v>1</v>
      </c>
      <c r="V297" s="33">
        <v>23.242280092592601</v>
      </c>
      <c r="W297" s="33">
        <v>56</v>
      </c>
      <c r="X297" s="33">
        <v>0</v>
      </c>
      <c r="Y297" s="33">
        <v>0</v>
      </c>
      <c r="Z297" s="33">
        <v>0</v>
      </c>
      <c r="AA297" s="33">
        <v>1</v>
      </c>
      <c r="AC297" s="29"/>
    </row>
    <row r="298" spans="1:29" x14ac:dyDescent="0.25">
      <c r="A298" s="27" t="s">
        <v>579</v>
      </c>
      <c r="B298" s="27" t="s">
        <v>14</v>
      </c>
      <c r="C298" s="27" t="s">
        <v>13</v>
      </c>
      <c r="D298" s="27" t="s">
        <v>154</v>
      </c>
      <c r="E298" s="27" t="s">
        <v>21</v>
      </c>
      <c r="F298" s="27" t="s">
        <v>505</v>
      </c>
      <c r="G298" s="27" t="s">
        <v>512</v>
      </c>
      <c r="H298" s="27" t="s">
        <v>513</v>
      </c>
      <c r="I298" s="27" t="s">
        <v>516</v>
      </c>
      <c r="J298" s="27" t="s">
        <v>516</v>
      </c>
      <c r="K298" s="27" t="s">
        <v>529</v>
      </c>
      <c r="L298" s="27" t="s">
        <v>539</v>
      </c>
      <c r="M298" s="30">
        <v>42543</v>
      </c>
      <c r="N298" s="30"/>
      <c r="O298" s="30"/>
      <c r="P298" s="27" t="s">
        <v>118</v>
      </c>
      <c r="Q298" s="32">
        <v>1</v>
      </c>
      <c r="R298" s="32">
        <v>28.993703703703702</v>
      </c>
      <c r="S298" s="32">
        <v>28.9939583333333</v>
      </c>
      <c r="T298" s="32">
        <v>0</v>
      </c>
      <c r="U298" s="32">
        <v>1</v>
      </c>
      <c r="V298" s="32">
        <v>28.9934143518519</v>
      </c>
      <c r="W298" s="32">
        <v>56</v>
      </c>
      <c r="X298" s="32">
        <v>19</v>
      </c>
      <c r="Y298" s="32">
        <v>19</v>
      </c>
      <c r="Z298" s="32">
        <v>0</v>
      </c>
      <c r="AA298" s="32">
        <v>1</v>
      </c>
      <c r="AC298" s="29"/>
    </row>
    <row r="299" spans="1:29" x14ac:dyDescent="0.25">
      <c r="A299" s="28" t="s">
        <v>580</v>
      </c>
      <c r="B299" s="28" t="s">
        <v>14</v>
      </c>
      <c r="C299" s="28" t="s">
        <v>16</v>
      </c>
      <c r="D299" s="28" t="s">
        <v>154</v>
      </c>
      <c r="E299" s="28" t="s">
        <v>21</v>
      </c>
      <c r="F299" s="28" t="s">
        <v>506</v>
      </c>
      <c r="G299" s="28" t="s">
        <v>511</v>
      </c>
      <c r="H299" s="28" t="s">
        <v>513</v>
      </c>
      <c r="I299" s="28" t="s">
        <v>516</v>
      </c>
      <c r="J299" s="28" t="s">
        <v>516</v>
      </c>
      <c r="K299" s="28" t="s">
        <v>529</v>
      </c>
      <c r="L299" s="28" t="s">
        <v>539</v>
      </c>
      <c r="M299" s="31">
        <v>42548</v>
      </c>
      <c r="N299" s="31"/>
      <c r="O299" s="31"/>
      <c r="P299" s="28" t="s">
        <v>105</v>
      </c>
      <c r="Q299" s="33">
        <v>1</v>
      </c>
      <c r="R299" s="33">
        <v>2.6801851851851901</v>
      </c>
      <c r="S299" s="33">
        <v>2.680625</v>
      </c>
      <c r="T299" s="33">
        <v>0</v>
      </c>
      <c r="U299" s="33">
        <v>1</v>
      </c>
      <c r="V299" s="33">
        <v>2.6785416666666699</v>
      </c>
      <c r="W299" s="33">
        <v>28</v>
      </c>
      <c r="X299" s="33">
        <v>7</v>
      </c>
      <c r="Y299" s="33">
        <v>7</v>
      </c>
      <c r="Z299" s="33">
        <v>0</v>
      </c>
      <c r="AA299" s="33">
        <v>1</v>
      </c>
      <c r="AC299" s="29"/>
    </row>
    <row r="300" spans="1:29" x14ac:dyDescent="0.25">
      <c r="A300" s="27" t="s">
        <v>581</v>
      </c>
      <c r="B300" s="27" t="s">
        <v>19</v>
      </c>
      <c r="C300" s="27" t="s">
        <v>16</v>
      </c>
      <c r="D300" s="27" t="s">
        <v>155</v>
      </c>
      <c r="E300" s="27" t="s">
        <v>24</v>
      </c>
      <c r="F300" s="27" t="s">
        <v>505</v>
      </c>
      <c r="G300" s="27" t="s">
        <v>156</v>
      </c>
      <c r="H300" s="27" t="s">
        <v>513</v>
      </c>
      <c r="I300" s="27" t="s">
        <v>517</v>
      </c>
      <c r="J300" s="27" t="s">
        <v>527</v>
      </c>
      <c r="K300" s="27" t="s">
        <v>529</v>
      </c>
      <c r="L300" s="27" t="s">
        <v>539</v>
      </c>
      <c r="M300" s="30">
        <v>42548</v>
      </c>
      <c r="N300" s="30">
        <v>42548</v>
      </c>
      <c r="O300" s="30">
        <v>42562</v>
      </c>
      <c r="P300" s="27" t="s">
        <v>102</v>
      </c>
      <c r="Q300" s="32">
        <v>1</v>
      </c>
      <c r="R300" s="32">
        <v>43.275578703703701</v>
      </c>
      <c r="S300" s="32">
        <v>51.276550925925903</v>
      </c>
      <c r="T300" s="32">
        <v>1</v>
      </c>
      <c r="U300" s="32">
        <v>1</v>
      </c>
      <c r="V300" s="32">
        <v>43.2704398148148</v>
      </c>
      <c r="W300" s="32">
        <v>14</v>
      </c>
      <c r="X300" s="32">
        <v>23</v>
      </c>
      <c r="Y300" s="32">
        <v>0</v>
      </c>
      <c r="Z300" s="32">
        <v>23</v>
      </c>
      <c r="AA300" s="32">
        <v>0</v>
      </c>
      <c r="AC300" s="29"/>
    </row>
    <row r="301" spans="1:29" x14ac:dyDescent="0.25">
      <c r="A301" s="28" t="s">
        <v>582</v>
      </c>
      <c r="B301" s="28" t="s">
        <v>19</v>
      </c>
      <c r="C301" s="28" t="s">
        <v>13</v>
      </c>
      <c r="D301" s="28" t="s">
        <v>75</v>
      </c>
      <c r="E301" s="28" t="s">
        <v>28</v>
      </c>
      <c r="F301" s="28" t="s">
        <v>506</v>
      </c>
      <c r="G301" s="28" t="s">
        <v>511</v>
      </c>
      <c r="H301" s="28" t="s">
        <v>513</v>
      </c>
      <c r="I301" s="28" t="s">
        <v>517</v>
      </c>
      <c r="J301" s="28" t="s">
        <v>527</v>
      </c>
      <c r="K301" s="28" t="s">
        <v>529</v>
      </c>
      <c r="L301" s="28" t="s">
        <v>539</v>
      </c>
      <c r="M301" s="31">
        <v>42549</v>
      </c>
      <c r="N301" s="31">
        <v>42549</v>
      </c>
      <c r="O301" s="31">
        <v>42558</v>
      </c>
      <c r="P301" s="28" t="s">
        <v>102</v>
      </c>
      <c r="Q301" s="33">
        <v>1</v>
      </c>
      <c r="R301" s="33">
        <v>17.211944444444399</v>
      </c>
      <c r="S301" s="33">
        <v>17.2120833333333</v>
      </c>
      <c r="T301" s="33">
        <v>1</v>
      </c>
      <c r="U301" s="33">
        <v>1</v>
      </c>
      <c r="V301" s="33">
        <v>17.211562499999999</v>
      </c>
      <c r="W301" s="33">
        <v>45</v>
      </c>
      <c r="X301" s="33">
        <v>20</v>
      </c>
      <c r="Y301" s="33">
        <v>0</v>
      </c>
      <c r="Z301" s="33">
        <v>20</v>
      </c>
      <c r="AA301" s="33">
        <v>1</v>
      </c>
      <c r="AC301" s="29"/>
    </row>
    <row r="302" spans="1:29" x14ac:dyDescent="0.25">
      <c r="A302" s="27" t="s">
        <v>583</v>
      </c>
      <c r="B302" s="27" t="s">
        <v>14</v>
      </c>
      <c r="C302" s="27" t="s">
        <v>16</v>
      </c>
      <c r="D302" s="27" t="s">
        <v>154</v>
      </c>
      <c r="E302" s="27" t="s">
        <v>21</v>
      </c>
      <c r="F302" s="27" t="s">
        <v>506</v>
      </c>
      <c r="G302" s="27" t="s">
        <v>511</v>
      </c>
      <c r="H302" s="27" t="s">
        <v>513</v>
      </c>
      <c r="I302" s="27" t="s">
        <v>516</v>
      </c>
      <c r="J302" s="27" t="s">
        <v>516</v>
      </c>
      <c r="K302" s="27" t="s">
        <v>529</v>
      </c>
      <c r="L302" s="27" t="s">
        <v>539</v>
      </c>
      <c r="M302" s="30">
        <v>42550</v>
      </c>
      <c r="N302" s="30"/>
      <c r="O302" s="30"/>
      <c r="P302" s="27" t="s">
        <v>117</v>
      </c>
      <c r="Q302" s="32">
        <v>1</v>
      </c>
      <c r="R302" s="32">
        <v>1.0671412037037</v>
      </c>
      <c r="S302" s="32">
        <v>1.89659722222222</v>
      </c>
      <c r="T302" s="32">
        <v>0</v>
      </c>
      <c r="U302" s="32">
        <v>1</v>
      </c>
      <c r="V302" s="32">
        <v>1.06673611111111</v>
      </c>
      <c r="W302" s="32">
        <v>28</v>
      </c>
      <c r="X302" s="32">
        <v>9.5</v>
      </c>
      <c r="Y302" s="32">
        <v>9.5</v>
      </c>
      <c r="Z302" s="32">
        <v>0</v>
      </c>
      <c r="AA302" s="32">
        <v>1</v>
      </c>
      <c r="AC302" s="29"/>
    </row>
    <row r="303" spans="1:29" x14ac:dyDescent="0.25">
      <c r="A303" s="28" t="s">
        <v>584</v>
      </c>
      <c r="B303" s="28" t="s">
        <v>14</v>
      </c>
      <c r="C303" s="28" t="s">
        <v>13</v>
      </c>
      <c r="D303" s="28" t="s">
        <v>154</v>
      </c>
      <c r="E303" s="28" t="s">
        <v>21</v>
      </c>
      <c r="F303" s="28" t="s">
        <v>506</v>
      </c>
      <c r="G303" s="28" t="s">
        <v>511</v>
      </c>
      <c r="H303" s="28" t="s">
        <v>513</v>
      </c>
      <c r="I303" s="28" t="s">
        <v>516</v>
      </c>
      <c r="J303" s="28" t="s">
        <v>516</v>
      </c>
      <c r="K303" s="28" t="s">
        <v>529</v>
      </c>
      <c r="L303" s="28" t="s">
        <v>539</v>
      </c>
      <c r="M303" s="31">
        <v>42550</v>
      </c>
      <c r="N303" s="31"/>
      <c r="O303" s="31"/>
      <c r="P303" s="28" t="s">
        <v>105</v>
      </c>
      <c r="Q303" s="33">
        <v>1</v>
      </c>
      <c r="R303" s="33">
        <v>2.1589351851851899</v>
      </c>
      <c r="S303" s="33">
        <v>2.1597222222222201</v>
      </c>
      <c r="T303" s="33">
        <v>0</v>
      </c>
      <c r="U303" s="33">
        <v>1</v>
      </c>
      <c r="V303" s="33">
        <v>2.1525462962963</v>
      </c>
      <c r="W303" s="33">
        <v>56</v>
      </c>
      <c r="X303" s="33">
        <v>4</v>
      </c>
      <c r="Y303" s="33">
        <v>4</v>
      </c>
      <c r="Z303" s="33">
        <v>0</v>
      </c>
      <c r="AA303" s="33">
        <v>1</v>
      </c>
      <c r="AC303" s="29"/>
    </row>
    <row r="304" spans="1:29" x14ac:dyDescent="0.25">
      <c r="A304" s="27" t="s">
        <v>585</v>
      </c>
      <c r="B304" s="27" t="s">
        <v>14</v>
      </c>
      <c r="C304" s="27" t="s">
        <v>15</v>
      </c>
      <c r="D304" s="27" t="s">
        <v>154</v>
      </c>
      <c r="E304" s="27" t="s">
        <v>21</v>
      </c>
      <c r="F304" s="27" t="s">
        <v>506</v>
      </c>
      <c r="G304" s="27" t="s">
        <v>511</v>
      </c>
      <c r="H304" s="27" t="s">
        <v>513</v>
      </c>
      <c r="I304" s="27" t="s">
        <v>516</v>
      </c>
      <c r="J304" s="27" t="s">
        <v>516</v>
      </c>
      <c r="K304" s="27" t="s">
        <v>529</v>
      </c>
      <c r="L304" s="27" t="s">
        <v>539</v>
      </c>
      <c r="M304" s="30">
        <v>42551</v>
      </c>
      <c r="N304" s="30"/>
      <c r="O304" s="30"/>
      <c r="P304" s="27" t="s">
        <v>102</v>
      </c>
      <c r="Q304" s="32">
        <v>1</v>
      </c>
      <c r="R304" s="32">
        <v>52.954236111111101</v>
      </c>
      <c r="S304" s="32">
        <v>55.890081018518501</v>
      </c>
      <c r="T304" s="32">
        <v>0</v>
      </c>
      <c r="U304" s="32">
        <v>1</v>
      </c>
      <c r="V304" s="32">
        <v>52.953576388888898</v>
      </c>
      <c r="W304" s="32">
        <v>140</v>
      </c>
      <c r="X304" s="32">
        <v>12</v>
      </c>
      <c r="Y304" s="32">
        <v>12</v>
      </c>
      <c r="Z304" s="32">
        <v>0</v>
      </c>
      <c r="AA304" s="32">
        <v>1</v>
      </c>
      <c r="AC304" s="29"/>
    </row>
    <row r="305" spans="1:29" x14ac:dyDescent="0.25">
      <c r="A305" s="28" t="s">
        <v>586</v>
      </c>
      <c r="B305" s="28" t="s">
        <v>14</v>
      </c>
      <c r="C305" s="28" t="s">
        <v>15</v>
      </c>
      <c r="D305" s="28" t="s">
        <v>154</v>
      </c>
      <c r="E305" s="28" t="s">
        <v>21</v>
      </c>
      <c r="F305" s="28" t="s">
        <v>506</v>
      </c>
      <c r="G305" s="28" t="s">
        <v>511</v>
      </c>
      <c r="H305" s="28" t="s">
        <v>513</v>
      </c>
      <c r="I305" s="28" t="s">
        <v>516</v>
      </c>
      <c r="J305" s="28" t="s">
        <v>516</v>
      </c>
      <c r="K305" s="28" t="s">
        <v>529</v>
      </c>
      <c r="L305" s="28" t="s">
        <v>539</v>
      </c>
      <c r="M305" s="31">
        <v>42552</v>
      </c>
      <c r="N305" s="31"/>
      <c r="O305" s="31"/>
      <c r="P305" s="28" t="s">
        <v>102</v>
      </c>
      <c r="Q305" s="33">
        <v>1</v>
      </c>
      <c r="R305" s="33">
        <v>52.213506944444397</v>
      </c>
      <c r="S305" s="33">
        <v>60.067256944444402</v>
      </c>
      <c r="T305" s="33">
        <v>0</v>
      </c>
      <c r="U305" s="33">
        <v>1</v>
      </c>
      <c r="V305" s="33">
        <v>52.213171296296302</v>
      </c>
      <c r="W305" s="33">
        <v>140</v>
      </c>
      <c r="X305" s="33">
        <v>14</v>
      </c>
      <c r="Y305" s="33">
        <v>14</v>
      </c>
      <c r="Z305" s="33">
        <v>0</v>
      </c>
      <c r="AA305" s="33">
        <v>1</v>
      </c>
      <c r="AC305" s="29"/>
    </row>
    <row r="306" spans="1:29" x14ac:dyDescent="0.25">
      <c r="A306" s="27" t="s">
        <v>587</v>
      </c>
      <c r="B306" s="27" t="s">
        <v>14</v>
      </c>
      <c r="C306" s="27" t="s">
        <v>15</v>
      </c>
      <c r="D306" s="27" t="s">
        <v>154</v>
      </c>
      <c r="E306" s="27" t="s">
        <v>21</v>
      </c>
      <c r="F306" s="27" t="s">
        <v>506</v>
      </c>
      <c r="G306" s="27" t="s">
        <v>511</v>
      </c>
      <c r="H306" s="27" t="s">
        <v>513</v>
      </c>
      <c r="I306" s="27" t="s">
        <v>516</v>
      </c>
      <c r="J306" s="27" t="s">
        <v>516</v>
      </c>
      <c r="K306" s="27" t="s">
        <v>529</v>
      </c>
      <c r="L306" s="27" t="s">
        <v>539</v>
      </c>
      <c r="M306" s="30">
        <v>42552</v>
      </c>
      <c r="N306" s="30"/>
      <c r="O306" s="30"/>
      <c r="P306" s="27" t="s">
        <v>102</v>
      </c>
      <c r="Q306" s="32">
        <v>1</v>
      </c>
      <c r="R306" s="32">
        <v>52.008391203703702</v>
      </c>
      <c r="S306" s="32">
        <v>62.105868055555597</v>
      </c>
      <c r="T306" s="32">
        <v>0</v>
      </c>
      <c r="U306" s="32">
        <v>1</v>
      </c>
      <c r="V306" s="32">
        <v>52.008148148148202</v>
      </c>
      <c r="W306" s="32">
        <v>140</v>
      </c>
      <c r="X306" s="32">
        <v>16</v>
      </c>
      <c r="Y306" s="32">
        <v>16</v>
      </c>
      <c r="Z306" s="32">
        <v>0</v>
      </c>
      <c r="AA306" s="32">
        <v>1</v>
      </c>
      <c r="AC306" s="29"/>
    </row>
    <row r="307" spans="1:29" x14ac:dyDescent="0.25">
      <c r="A307" s="28" t="s">
        <v>589</v>
      </c>
      <c r="B307" s="28" t="s">
        <v>14</v>
      </c>
      <c r="C307" s="28" t="s">
        <v>16</v>
      </c>
      <c r="D307" s="28" t="s">
        <v>154</v>
      </c>
      <c r="E307" s="28" t="s">
        <v>21</v>
      </c>
      <c r="F307" s="28" t="s">
        <v>506</v>
      </c>
      <c r="G307" s="28" t="s">
        <v>511</v>
      </c>
      <c r="H307" s="28" t="s">
        <v>513</v>
      </c>
      <c r="I307" s="28" t="s">
        <v>516</v>
      </c>
      <c r="J307" s="28" t="s">
        <v>516</v>
      </c>
      <c r="K307" s="28" t="s">
        <v>529</v>
      </c>
      <c r="L307" s="28" t="s">
        <v>539</v>
      </c>
      <c r="M307" s="31">
        <v>42556</v>
      </c>
      <c r="N307" s="31"/>
      <c r="O307" s="31"/>
      <c r="P307" s="28" t="s">
        <v>102</v>
      </c>
      <c r="Q307" s="33">
        <v>1</v>
      </c>
      <c r="R307" s="33">
        <v>3.6838888888888901</v>
      </c>
      <c r="S307" s="33">
        <v>3.6846064814814801</v>
      </c>
      <c r="T307" s="33">
        <v>0</v>
      </c>
      <c r="U307" s="33">
        <v>1</v>
      </c>
      <c r="V307" s="33">
        <v>3.6825578703703701</v>
      </c>
      <c r="W307" s="33">
        <v>28</v>
      </c>
      <c r="X307" s="33">
        <v>8.5</v>
      </c>
      <c r="Y307" s="33">
        <v>8.5</v>
      </c>
      <c r="Z307" s="33">
        <v>0</v>
      </c>
      <c r="AA307" s="33">
        <v>1</v>
      </c>
      <c r="AC307" s="29"/>
    </row>
    <row r="308" spans="1:29" x14ac:dyDescent="0.25">
      <c r="A308" s="27" t="s">
        <v>590</v>
      </c>
      <c r="B308" s="27" t="s">
        <v>14</v>
      </c>
      <c r="C308" s="27" t="s">
        <v>13</v>
      </c>
      <c r="D308" s="27" t="s">
        <v>154</v>
      </c>
      <c r="E308" s="27" t="s">
        <v>21</v>
      </c>
      <c r="F308" s="27" t="s">
        <v>506</v>
      </c>
      <c r="G308" s="27" t="s">
        <v>511</v>
      </c>
      <c r="H308" s="27" t="s">
        <v>513</v>
      </c>
      <c r="I308" s="27" t="s">
        <v>516</v>
      </c>
      <c r="J308" s="27" t="s">
        <v>516</v>
      </c>
      <c r="K308" s="27" t="s">
        <v>529</v>
      </c>
      <c r="L308" s="27" t="s">
        <v>539</v>
      </c>
      <c r="M308" s="30">
        <v>42557</v>
      </c>
      <c r="N308" s="30"/>
      <c r="O308" s="30"/>
      <c r="P308" s="27" t="s">
        <v>101</v>
      </c>
      <c r="Q308" s="32">
        <v>1</v>
      </c>
      <c r="R308" s="32">
        <v>6.3160532407407404</v>
      </c>
      <c r="S308" s="32">
        <v>8.2383680555555596</v>
      </c>
      <c r="T308" s="32">
        <v>0</v>
      </c>
      <c r="U308" s="32">
        <v>1</v>
      </c>
      <c r="V308" s="32">
        <v>6.3157870370370404</v>
      </c>
      <c r="W308" s="32">
        <v>56</v>
      </c>
      <c r="X308" s="32">
        <v>6.5</v>
      </c>
      <c r="Y308" s="32">
        <v>6.5</v>
      </c>
      <c r="Z308" s="32">
        <v>0</v>
      </c>
      <c r="AA308" s="32">
        <v>1</v>
      </c>
      <c r="AC308" s="29"/>
    </row>
    <row r="309" spans="1:29" x14ac:dyDescent="0.25">
      <c r="A309" s="28" t="s">
        <v>591</v>
      </c>
      <c r="B309" s="28" t="s">
        <v>14</v>
      </c>
      <c r="C309" s="28" t="s">
        <v>16</v>
      </c>
      <c r="D309" s="28" t="s">
        <v>154</v>
      </c>
      <c r="E309" s="28" t="s">
        <v>21</v>
      </c>
      <c r="F309" s="28" t="s">
        <v>506</v>
      </c>
      <c r="G309" s="28" t="s">
        <v>511</v>
      </c>
      <c r="H309" s="28" t="s">
        <v>513</v>
      </c>
      <c r="I309" s="28" t="s">
        <v>516</v>
      </c>
      <c r="J309" s="28" t="s">
        <v>516</v>
      </c>
      <c r="K309" s="28" t="s">
        <v>529</v>
      </c>
      <c r="L309" s="28" t="s">
        <v>539</v>
      </c>
      <c r="M309" s="31">
        <v>42558</v>
      </c>
      <c r="N309" s="31"/>
      <c r="O309" s="31"/>
      <c r="P309" s="28" t="s">
        <v>99</v>
      </c>
      <c r="Q309" s="33">
        <v>1</v>
      </c>
      <c r="R309" s="33">
        <v>0.80864583333333295</v>
      </c>
      <c r="S309" s="33">
        <v>12.701793981481501</v>
      </c>
      <c r="T309" s="33">
        <v>0</v>
      </c>
      <c r="U309" s="33">
        <v>1</v>
      </c>
      <c r="V309" s="33">
        <v>0.80802083333333297</v>
      </c>
      <c r="W309" s="33">
        <v>28</v>
      </c>
      <c r="X309" s="33">
        <v>8.5</v>
      </c>
      <c r="Y309" s="33">
        <v>8.5</v>
      </c>
      <c r="Z309" s="33">
        <v>0</v>
      </c>
      <c r="AA309" s="33">
        <v>1</v>
      </c>
      <c r="AC309" s="29"/>
    </row>
    <row r="310" spans="1:29" x14ac:dyDescent="0.25">
      <c r="A310" s="27" t="s">
        <v>592</v>
      </c>
      <c r="B310" s="27" t="s">
        <v>14</v>
      </c>
      <c r="C310" s="27" t="s">
        <v>13</v>
      </c>
      <c r="D310" s="27" t="s">
        <v>154</v>
      </c>
      <c r="E310" s="27" t="s">
        <v>21</v>
      </c>
      <c r="F310" s="27" t="s">
        <v>506</v>
      </c>
      <c r="G310" s="27" t="s">
        <v>511</v>
      </c>
      <c r="H310" s="27" t="s">
        <v>513</v>
      </c>
      <c r="I310" s="27" t="s">
        <v>516</v>
      </c>
      <c r="J310" s="27" t="s">
        <v>516</v>
      </c>
      <c r="K310" s="27" t="s">
        <v>529</v>
      </c>
      <c r="L310" s="27" t="s">
        <v>539</v>
      </c>
      <c r="M310" s="30">
        <v>42558</v>
      </c>
      <c r="N310" s="30"/>
      <c r="O310" s="30"/>
      <c r="P310" s="27" t="s">
        <v>98</v>
      </c>
      <c r="Q310" s="32">
        <v>1</v>
      </c>
      <c r="R310" s="32">
        <v>7.0263310185185199</v>
      </c>
      <c r="S310" s="32">
        <v>62.859212962962999</v>
      </c>
      <c r="T310" s="32">
        <v>0</v>
      </c>
      <c r="U310" s="32">
        <v>1</v>
      </c>
      <c r="V310" s="32">
        <v>7.02456018518519</v>
      </c>
      <c r="W310" s="32">
        <v>56</v>
      </c>
      <c r="X310" s="32">
        <v>2.5</v>
      </c>
      <c r="Y310" s="32">
        <v>2.5</v>
      </c>
      <c r="Z310" s="32">
        <v>0</v>
      </c>
      <c r="AA310" s="32">
        <v>1</v>
      </c>
      <c r="AC310" s="29"/>
    </row>
    <row r="311" spans="1:29" x14ac:dyDescent="0.25">
      <c r="A311" s="28" t="s">
        <v>594</v>
      </c>
      <c r="B311" s="28" t="s">
        <v>19</v>
      </c>
      <c r="C311" s="28" t="s">
        <v>13</v>
      </c>
      <c r="D311" s="28" t="s">
        <v>75</v>
      </c>
      <c r="E311" s="28" t="s">
        <v>28</v>
      </c>
      <c r="F311" s="28" t="s">
        <v>506</v>
      </c>
      <c r="G311" s="28" t="s">
        <v>511</v>
      </c>
      <c r="H311" s="28" t="s">
        <v>513</v>
      </c>
      <c r="I311" s="28" t="s">
        <v>517</v>
      </c>
      <c r="J311" s="28" t="s">
        <v>527</v>
      </c>
      <c r="K311" s="28" t="s">
        <v>603</v>
      </c>
      <c r="L311" s="28" t="s">
        <v>539</v>
      </c>
      <c r="M311" s="31">
        <v>42562</v>
      </c>
      <c r="N311" s="31">
        <v>42562</v>
      </c>
      <c r="O311" s="31">
        <v>42573</v>
      </c>
      <c r="P311" s="28" t="s">
        <v>98</v>
      </c>
      <c r="Q311" s="33">
        <v>1</v>
      </c>
      <c r="R311" s="33">
        <v>10.814780092592599</v>
      </c>
      <c r="S311" s="33">
        <v>14.072337962962999</v>
      </c>
      <c r="T311" s="33">
        <v>1</v>
      </c>
      <c r="U311" s="33">
        <v>1</v>
      </c>
      <c r="V311" s="33">
        <v>10.814421296296301</v>
      </c>
      <c r="W311" s="33">
        <v>45</v>
      </c>
      <c r="X311" s="33">
        <v>22</v>
      </c>
      <c r="Y311" s="33">
        <v>0</v>
      </c>
      <c r="Z311" s="33">
        <v>22</v>
      </c>
      <c r="AA311" s="33">
        <v>1</v>
      </c>
      <c r="AC311" s="29"/>
    </row>
    <row r="312" spans="1:29" x14ac:dyDescent="0.25">
      <c r="A312" s="27" t="s">
        <v>595</v>
      </c>
      <c r="B312" s="27" t="s">
        <v>19</v>
      </c>
      <c r="C312" s="27" t="s">
        <v>13</v>
      </c>
      <c r="D312" s="27" t="s">
        <v>75</v>
      </c>
      <c r="E312" s="27" t="s">
        <v>28</v>
      </c>
      <c r="F312" s="27" t="s">
        <v>505</v>
      </c>
      <c r="G312" s="27" t="s">
        <v>156</v>
      </c>
      <c r="H312" s="27" t="s">
        <v>513</v>
      </c>
      <c r="I312" s="27" t="s">
        <v>517</v>
      </c>
      <c r="J312" s="27" t="s">
        <v>527</v>
      </c>
      <c r="K312" s="27" t="s">
        <v>529</v>
      </c>
      <c r="L312" s="27" t="s">
        <v>539</v>
      </c>
      <c r="M312" s="30">
        <v>42562</v>
      </c>
      <c r="N312" s="30">
        <v>42562</v>
      </c>
      <c r="O312" s="30">
        <v>42573</v>
      </c>
      <c r="P312" s="27" t="s">
        <v>109</v>
      </c>
      <c r="Q312" s="32">
        <v>1</v>
      </c>
      <c r="R312" s="32">
        <v>14.058425925925899</v>
      </c>
      <c r="S312" s="32">
        <v>14.0586921296296</v>
      </c>
      <c r="T312" s="32">
        <v>1</v>
      </c>
      <c r="U312" s="32">
        <v>1</v>
      </c>
      <c r="V312" s="32">
        <v>14.0581365740741</v>
      </c>
      <c r="W312" s="32">
        <v>45</v>
      </c>
      <c r="X312" s="32">
        <v>26</v>
      </c>
      <c r="Y312" s="32">
        <v>0</v>
      </c>
      <c r="Z312" s="32">
        <v>26</v>
      </c>
      <c r="AA312" s="32">
        <v>1</v>
      </c>
      <c r="AC312" s="29"/>
    </row>
    <row r="313" spans="1:29" x14ac:dyDescent="0.25">
      <c r="A313" s="28" t="s">
        <v>596</v>
      </c>
      <c r="B313" s="28" t="s">
        <v>14</v>
      </c>
      <c r="C313" s="28" t="s">
        <v>13</v>
      </c>
      <c r="D313" s="28" t="s">
        <v>154</v>
      </c>
      <c r="E313" s="28" t="s">
        <v>21</v>
      </c>
      <c r="F313" s="28" t="s">
        <v>506</v>
      </c>
      <c r="G313" s="28" t="s">
        <v>511</v>
      </c>
      <c r="H313" s="28" t="s">
        <v>513</v>
      </c>
      <c r="I313" s="28" t="s">
        <v>517</v>
      </c>
      <c r="J313" s="28" t="s">
        <v>522</v>
      </c>
      <c r="K313" s="28" t="s">
        <v>529</v>
      </c>
      <c r="L313" s="28" t="s">
        <v>539</v>
      </c>
      <c r="M313" s="31">
        <v>42564</v>
      </c>
      <c r="N313" s="31">
        <v>42564</v>
      </c>
      <c r="O313" s="31">
        <v>42585</v>
      </c>
      <c r="P313" s="28" t="s">
        <v>104</v>
      </c>
      <c r="Q313" s="33">
        <v>1</v>
      </c>
      <c r="R313" s="33">
        <v>22.866689814814801</v>
      </c>
      <c r="S313" s="33">
        <v>22.8669097222222</v>
      </c>
      <c r="T313" s="33">
        <v>1</v>
      </c>
      <c r="U313" s="33">
        <v>1</v>
      </c>
      <c r="V313" s="33">
        <v>22.865474537036999</v>
      </c>
      <c r="W313" s="33">
        <v>56</v>
      </c>
      <c r="X313" s="33">
        <v>30.5</v>
      </c>
      <c r="Y313" s="33">
        <v>11.5</v>
      </c>
      <c r="Z313" s="33">
        <v>19</v>
      </c>
      <c r="AA313" s="33">
        <v>1</v>
      </c>
      <c r="AC313" s="29"/>
    </row>
    <row r="314" spans="1:29" x14ac:dyDescent="0.25">
      <c r="A314" s="27" t="s">
        <v>597</v>
      </c>
      <c r="B314" s="27" t="s">
        <v>18</v>
      </c>
      <c r="C314" s="27" t="s">
        <v>16</v>
      </c>
      <c r="D314" s="27" t="s">
        <v>154</v>
      </c>
      <c r="E314" s="27" t="s">
        <v>21</v>
      </c>
      <c r="F314" s="27" t="s">
        <v>506</v>
      </c>
      <c r="G314" s="27" t="s">
        <v>511</v>
      </c>
      <c r="H314" s="27" t="s">
        <v>513</v>
      </c>
      <c r="I314" s="27" t="s">
        <v>517</v>
      </c>
      <c r="J314" s="27" t="s">
        <v>523</v>
      </c>
      <c r="K314" s="27" t="s">
        <v>529</v>
      </c>
      <c r="L314" s="27" t="s">
        <v>539</v>
      </c>
      <c r="M314" s="30">
        <v>42564</v>
      </c>
      <c r="N314" s="30">
        <v>42564</v>
      </c>
      <c r="O314" s="30">
        <v>42573</v>
      </c>
      <c r="P314" s="27" t="s">
        <v>104</v>
      </c>
      <c r="Q314" s="32">
        <v>1</v>
      </c>
      <c r="R314" s="32">
        <v>8.9309837962962995</v>
      </c>
      <c r="S314" s="32">
        <v>8.9312037037036998</v>
      </c>
      <c r="T314" s="32">
        <v>1</v>
      </c>
      <c r="U314" s="32">
        <v>1</v>
      </c>
      <c r="V314" s="32">
        <v>8.9298726851851793</v>
      </c>
      <c r="W314" s="32">
        <v>28</v>
      </c>
      <c r="X314" s="32">
        <v>12</v>
      </c>
      <c r="Y314" s="32">
        <v>8</v>
      </c>
      <c r="Z314" s="32">
        <v>4</v>
      </c>
      <c r="AA314" s="32">
        <v>1</v>
      </c>
      <c r="AC314" s="29"/>
    </row>
    <row r="315" spans="1:29" x14ac:dyDescent="0.25">
      <c r="A315" s="28" t="s">
        <v>598</v>
      </c>
      <c r="B315" s="28" t="s">
        <v>14</v>
      </c>
      <c r="C315" s="28" t="s">
        <v>16</v>
      </c>
      <c r="D315" s="28" t="s">
        <v>154</v>
      </c>
      <c r="E315" s="28" t="s">
        <v>21</v>
      </c>
      <c r="F315" s="28" t="s">
        <v>506</v>
      </c>
      <c r="G315" s="28" t="s">
        <v>511</v>
      </c>
      <c r="H315" s="28" t="s">
        <v>513</v>
      </c>
      <c r="I315" s="28" t="s">
        <v>516</v>
      </c>
      <c r="J315" s="28" t="s">
        <v>516</v>
      </c>
      <c r="K315" s="28" t="s">
        <v>529</v>
      </c>
      <c r="L315" s="28" t="s">
        <v>539</v>
      </c>
      <c r="M315" s="31">
        <v>42565</v>
      </c>
      <c r="N315" s="31"/>
      <c r="O315" s="31"/>
      <c r="P315" s="28" t="s">
        <v>112</v>
      </c>
      <c r="Q315" s="33">
        <v>1</v>
      </c>
      <c r="R315" s="33">
        <v>1.3006712962963001</v>
      </c>
      <c r="S315" s="33">
        <v>4.2004398148148203</v>
      </c>
      <c r="T315" s="33">
        <v>0</v>
      </c>
      <c r="U315" s="33">
        <v>1</v>
      </c>
      <c r="V315" s="33">
        <v>1.2979050925925899</v>
      </c>
      <c r="W315" s="33">
        <v>28</v>
      </c>
      <c r="X315" s="33">
        <v>10</v>
      </c>
      <c r="Y315" s="33">
        <v>10</v>
      </c>
      <c r="Z315" s="33">
        <v>0</v>
      </c>
      <c r="AA315" s="33">
        <v>1</v>
      </c>
      <c r="AC315" s="29"/>
    </row>
    <row r="316" spans="1:29" x14ac:dyDescent="0.25">
      <c r="A316" s="27" t="s">
        <v>599</v>
      </c>
      <c r="B316" s="27" t="s">
        <v>14</v>
      </c>
      <c r="C316" s="27" t="s">
        <v>13</v>
      </c>
      <c r="D316" s="27" t="s">
        <v>154</v>
      </c>
      <c r="E316" s="27" t="s">
        <v>21</v>
      </c>
      <c r="F316" s="27" t="s">
        <v>505</v>
      </c>
      <c r="G316" s="27" t="s">
        <v>512</v>
      </c>
      <c r="H316" s="27" t="s">
        <v>513</v>
      </c>
      <c r="I316" s="27" t="s">
        <v>516</v>
      </c>
      <c r="J316" s="27" t="s">
        <v>516</v>
      </c>
      <c r="K316" s="27" t="s">
        <v>529</v>
      </c>
      <c r="L316" s="27" t="s">
        <v>539</v>
      </c>
      <c r="M316" s="30">
        <v>42566</v>
      </c>
      <c r="N316" s="30"/>
      <c r="O316" s="30"/>
      <c r="P316" s="27" t="s">
        <v>101</v>
      </c>
      <c r="Q316" s="32">
        <v>1</v>
      </c>
      <c r="R316" s="32">
        <v>6.2417013888888899</v>
      </c>
      <c r="S316" s="32">
        <v>32.015162037037001</v>
      </c>
      <c r="T316" s="32">
        <v>0</v>
      </c>
      <c r="U316" s="32">
        <v>1</v>
      </c>
      <c r="V316" s="32">
        <v>6.2375231481481501</v>
      </c>
      <c r="W316" s="32">
        <v>56</v>
      </c>
      <c r="X316" s="32">
        <v>21</v>
      </c>
      <c r="Y316" s="32">
        <v>21</v>
      </c>
      <c r="Z316" s="32">
        <v>0</v>
      </c>
      <c r="AA316" s="32">
        <v>1</v>
      </c>
      <c r="AC316" s="29"/>
    </row>
    <row r="317" spans="1:29" x14ac:dyDescent="0.25">
      <c r="A317" s="28" t="s">
        <v>600</v>
      </c>
      <c r="B317" s="28" t="s">
        <v>14</v>
      </c>
      <c r="C317" s="28" t="s">
        <v>16</v>
      </c>
      <c r="D317" s="28" t="s">
        <v>154</v>
      </c>
      <c r="E317" s="28" t="s">
        <v>21</v>
      </c>
      <c r="F317" s="28" t="s">
        <v>506</v>
      </c>
      <c r="G317" s="28" t="s">
        <v>511</v>
      </c>
      <c r="H317" s="28" t="s">
        <v>513</v>
      </c>
      <c r="I317" s="28" t="s">
        <v>516</v>
      </c>
      <c r="J317" s="28" t="s">
        <v>516</v>
      </c>
      <c r="K317" s="28" t="s">
        <v>529</v>
      </c>
      <c r="L317" s="28" t="s">
        <v>539</v>
      </c>
      <c r="M317" s="31">
        <v>42570</v>
      </c>
      <c r="N317" s="31"/>
      <c r="O317" s="31"/>
      <c r="P317" s="28" t="s">
        <v>110</v>
      </c>
      <c r="Q317" s="33">
        <v>1</v>
      </c>
      <c r="R317" s="33">
        <v>3.1115277777777801</v>
      </c>
      <c r="S317" s="33">
        <v>3.1116550925925899</v>
      </c>
      <c r="T317" s="33">
        <v>0</v>
      </c>
      <c r="U317" s="33">
        <v>1</v>
      </c>
      <c r="V317" s="33">
        <v>3.1084259259259301</v>
      </c>
      <c r="W317" s="33">
        <v>28</v>
      </c>
      <c r="X317" s="33">
        <v>6</v>
      </c>
      <c r="Y317" s="33">
        <v>6</v>
      </c>
      <c r="Z317" s="33">
        <v>0</v>
      </c>
      <c r="AA317" s="33">
        <v>1</v>
      </c>
      <c r="AC317" s="29"/>
    </row>
    <row r="318" spans="1:29" x14ac:dyDescent="0.25">
      <c r="A318" s="27" t="s">
        <v>601</v>
      </c>
      <c r="B318" s="27" t="s">
        <v>14</v>
      </c>
      <c r="C318" s="27" t="s">
        <v>13</v>
      </c>
      <c r="D318" s="27" t="s">
        <v>154</v>
      </c>
      <c r="E318" s="27" t="s">
        <v>21</v>
      </c>
      <c r="F318" s="27" t="s">
        <v>506</v>
      </c>
      <c r="G318" s="27" t="s">
        <v>511</v>
      </c>
      <c r="H318" s="27" t="s">
        <v>513</v>
      </c>
      <c r="I318" s="27" t="s">
        <v>516</v>
      </c>
      <c r="J318" s="27" t="s">
        <v>516</v>
      </c>
      <c r="K318" s="27" t="s">
        <v>529</v>
      </c>
      <c r="L318" s="27" t="s">
        <v>539</v>
      </c>
      <c r="M318" s="30">
        <v>42570</v>
      </c>
      <c r="N318" s="30"/>
      <c r="O318" s="30"/>
      <c r="P318" s="27" t="s">
        <v>118</v>
      </c>
      <c r="Q318" s="32">
        <v>1</v>
      </c>
      <c r="R318" s="32">
        <v>1.91444444444444</v>
      </c>
      <c r="S318" s="32">
        <v>1.9145717592592599</v>
      </c>
      <c r="T318" s="32">
        <v>0</v>
      </c>
      <c r="U318" s="32">
        <v>1</v>
      </c>
      <c r="V318" s="32">
        <v>1.9142361111111099</v>
      </c>
      <c r="W318" s="32">
        <v>56</v>
      </c>
      <c r="X318" s="32">
        <v>12</v>
      </c>
      <c r="Y318" s="32">
        <v>12</v>
      </c>
      <c r="Z318" s="32">
        <v>0</v>
      </c>
      <c r="AA318" s="32">
        <v>1</v>
      </c>
      <c r="AC318" s="29"/>
    </row>
    <row r="319" spans="1:29" x14ac:dyDescent="0.25">
      <c r="A319" s="28" t="s">
        <v>602</v>
      </c>
      <c r="B319" s="28" t="s">
        <v>14</v>
      </c>
      <c r="C319" s="28" t="s">
        <v>13</v>
      </c>
      <c r="D319" s="28" t="s">
        <v>154</v>
      </c>
      <c r="E319" s="28" t="s">
        <v>21</v>
      </c>
      <c r="F319" s="28" t="s">
        <v>506</v>
      </c>
      <c r="G319" s="28" t="s">
        <v>511</v>
      </c>
      <c r="H319" s="28" t="s">
        <v>513</v>
      </c>
      <c r="I319" s="28" t="s">
        <v>516</v>
      </c>
      <c r="J319" s="28" t="s">
        <v>516</v>
      </c>
      <c r="K319" s="28" t="s">
        <v>529</v>
      </c>
      <c r="L319" s="28" t="s">
        <v>539</v>
      </c>
      <c r="M319" s="31">
        <v>42570</v>
      </c>
      <c r="N319" s="31"/>
      <c r="O319" s="31"/>
      <c r="P319" s="28" t="s">
        <v>104</v>
      </c>
      <c r="Q319" s="33">
        <v>1</v>
      </c>
      <c r="R319" s="33">
        <v>5.9204745370370402</v>
      </c>
      <c r="S319" s="33">
        <v>15.6213541666667</v>
      </c>
      <c r="T319" s="33">
        <v>0</v>
      </c>
      <c r="U319" s="33">
        <v>1</v>
      </c>
      <c r="V319" s="33">
        <v>5.9199537037037002</v>
      </c>
      <c r="W319" s="33">
        <v>56</v>
      </c>
      <c r="X319" s="33">
        <v>18</v>
      </c>
      <c r="Y319" s="33">
        <v>18</v>
      </c>
      <c r="Z319" s="33">
        <v>0</v>
      </c>
      <c r="AA319" s="33">
        <v>1</v>
      </c>
      <c r="AC319" s="29"/>
    </row>
    <row r="320" spans="1:29" x14ac:dyDescent="0.25">
      <c r="A320" s="27" t="s">
        <v>604</v>
      </c>
      <c r="B320" s="27" t="s">
        <v>14</v>
      </c>
      <c r="C320" s="27" t="s">
        <v>15</v>
      </c>
      <c r="D320" s="27" t="s">
        <v>154</v>
      </c>
      <c r="E320" s="27" t="s">
        <v>21</v>
      </c>
      <c r="F320" s="27" t="s">
        <v>506</v>
      </c>
      <c r="G320" s="27" t="s">
        <v>511</v>
      </c>
      <c r="H320" s="27" t="s">
        <v>513</v>
      </c>
      <c r="I320" s="27" t="s">
        <v>516</v>
      </c>
      <c r="J320" s="27" t="s">
        <v>516</v>
      </c>
      <c r="K320" s="27" t="s">
        <v>529</v>
      </c>
      <c r="L320" s="27" t="s">
        <v>539</v>
      </c>
      <c r="M320" s="30">
        <v>42576</v>
      </c>
      <c r="N320" s="30"/>
      <c r="O320" s="30"/>
      <c r="P320" s="27" t="s">
        <v>102</v>
      </c>
      <c r="Q320" s="32">
        <v>1</v>
      </c>
      <c r="R320" s="32">
        <v>39.123587962963001</v>
      </c>
      <c r="S320" s="32">
        <v>39.1237384259259</v>
      </c>
      <c r="T320" s="32">
        <v>0</v>
      </c>
      <c r="U320" s="32">
        <v>1</v>
      </c>
      <c r="V320" s="32">
        <v>39.123310185185197</v>
      </c>
      <c r="W320" s="32">
        <v>140</v>
      </c>
      <c r="X320" s="32">
        <v>14</v>
      </c>
      <c r="Y320" s="32">
        <v>14</v>
      </c>
      <c r="Z320" s="32">
        <v>0</v>
      </c>
      <c r="AA320" s="32">
        <v>1</v>
      </c>
      <c r="AC320" s="29"/>
    </row>
    <row r="321" spans="1:29" x14ac:dyDescent="0.25">
      <c r="A321" s="28" t="s">
        <v>605</v>
      </c>
      <c r="B321" s="28" t="s">
        <v>14</v>
      </c>
      <c r="C321" s="28" t="s">
        <v>13</v>
      </c>
      <c r="D321" s="28" t="s">
        <v>154</v>
      </c>
      <c r="E321" s="28" t="s">
        <v>21</v>
      </c>
      <c r="F321" s="28" t="s">
        <v>506</v>
      </c>
      <c r="G321" s="28" t="s">
        <v>511</v>
      </c>
      <c r="H321" s="28" t="s">
        <v>513</v>
      </c>
      <c r="I321" s="28" t="s">
        <v>516</v>
      </c>
      <c r="J321" s="28" t="s">
        <v>516</v>
      </c>
      <c r="K321" s="28" t="s">
        <v>529</v>
      </c>
      <c r="L321" s="28" t="s">
        <v>539</v>
      </c>
      <c r="M321" s="31">
        <v>42576</v>
      </c>
      <c r="N321" s="31"/>
      <c r="O321" s="31"/>
      <c r="P321" s="28" t="s">
        <v>101</v>
      </c>
      <c r="Q321" s="33">
        <v>1</v>
      </c>
      <c r="R321" s="33">
        <v>2.0390277777777799</v>
      </c>
      <c r="S321" s="33">
        <v>2.0397453703703698</v>
      </c>
      <c r="T321" s="33">
        <v>0</v>
      </c>
      <c r="U321" s="33">
        <v>1</v>
      </c>
      <c r="V321" s="33">
        <v>2.03788194444444</v>
      </c>
      <c r="W321" s="33">
        <v>56</v>
      </c>
      <c r="X321" s="33">
        <v>10</v>
      </c>
      <c r="Y321" s="33">
        <v>10</v>
      </c>
      <c r="Z321" s="33">
        <v>0</v>
      </c>
      <c r="AA321" s="33">
        <v>1</v>
      </c>
      <c r="AC321" s="29"/>
    </row>
    <row r="322" spans="1:29" x14ac:dyDescent="0.25">
      <c r="A322" s="27" t="s">
        <v>606</v>
      </c>
      <c r="B322" s="27" t="s">
        <v>14</v>
      </c>
      <c r="C322" s="27" t="s">
        <v>13</v>
      </c>
      <c r="D322" s="27" t="s">
        <v>154</v>
      </c>
      <c r="E322" s="27" t="s">
        <v>21</v>
      </c>
      <c r="F322" s="27" t="s">
        <v>506</v>
      </c>
      <c r="G322" s="27" t="s">
        <v>511</v>
      </c>
      <c r="H322" s="27" t="s">
        <v>513</v>
      </c>
      <c r="I322" s="27" t="s">
        <v>516</v>
      </c>
      <c r="J322" s="27" t="s">
        <v>516</v>
      </c>
      <c r="K322" s="27" t="s">
        <v>529</v>
      </c>
      <c r="L322" s="27" t="s">
        <v>539</v>
      </c>
      <c r="M322" s="30">
        <v>42577</v>
      </c>
      <c r="N322" s="30"/>
      <c r="O322" s="30"/>
      <c r="P322" s="27" t="s">
        <v>105</v>
      </c>
      <c r="Q322" s="32">
        <v>1</v>
      </c>
      <c r="R322" s="32">
        <v>3.9634374999999999</v>
      </c>
      <c r="S322" s="32">
        <v>24.312152777777801</v>
      </c>
      <c r="T322" s="32">
        <v>0</v>
      </c>
      <c r="U322" s="32">
        <v>1</v>
      </c>
      <c r="V322" s="32">
        <v>2.7306249999999999</v>
      </c>
      <c r="W322" s="32">
        <v>56</v>
      </c>
      <c r="X322" s="32">
        <v>13</v>
      </c>
      <c r="Y322" s="32">
        <v>13</v>
      </c>
      <c r="Z322" s="32">
        <v>0</v>
      </c>
      <c r="AA322" s="32">
        <v>1</v>
      </c>
      <c r="AC322" s="29"/>
    </row>
    <row r="323" spans="1:29" x14ac:dyDescent="0.25">
      <c r="A323" s="28" t="s">
        <v>607</v>
      </c>
      <c r="B323" s="28" t="s">
        <v>14</v>
      </c>
      <c r="C323" s="28" t="s">
        <v>15</v>
      </c>
      <c r="D323" s="28" t="s">
        <v>154</v>
      </c>
      <c r="E323" s="28" t="s">
        <v>21</v>
      </c>
      <c r="F323" s="28" t="s">
        <v>506</v>
      </c>
      <c r="G323" s="28" t="s">
        <v>511</v>
      </c>
      <c r="H323" s="28" t="s">
        <v>513</v>
      </c>
      <c r="I323" s="28" t="s">
        <v>516</v>
      </c>
      <c r="J323" s="28" t="s">
        <v>516</v>
      </c>
      <c r="K323" s="28" t="s">
        <v>529</v>
      </c>
      <c r="L323" s="28" t="s">
        <v>539</v>
      </c>
      <c r="M323" s="31">
        <v>42580</v>
      </c>
      <c r="N323" s="31"/>
      <c r="O323" s="31"/>
      <c r="P323" s="28" t="s">
        <v>105</v>
      </c>
      <c r="Q323" s="33">
        <v>1</v>
      </c>
      <c r="R323" s="33">
        <v>0.116724537037037</v>
      </c>
      <c r="S323" s="33">
        <v>0.117592592592593</v>
      </c>
      <c r="T323" s="33">
        <v>0</v>
      </c>
      <c r="U323" s="33">
        <v>1</v>
      </c>
      <c r="V323" s="33">
        <v>0.11635416666666699</v>
      </c>
      <c r="W323" s="33">
        <v>140</v>
      </c>
      <c r="X323" s="33">
        <v>4</v>
      </c>
      <c r="Y323" s="33">
        <v>4</v>
      </c>
      <c r="Z323" s="33">
        <v>0</v>
      </c>
      <c r="AA323" s="33">
        <v>1</v>
      </c>
      <c r="AC323" s="29"/>
    </row>
    <row r="324" spans="1:29" x14ac:dyDescent="0.25">
      <c r="A324" s="27" t="s">
        <v>608</v>
      </c>
      <c r="B324" s="27" t="s">
        <v>14</v>
      </c>
      <c r="C324" s="27" t="s">
        <v>13</v>
      </c>
      <c r="D324" s="27" t="s">
        <v>154</v>
      </c>
      <c r="E324" s="27" t="s">
        <v>21</v>
      </c>
      <c r="F324" s="27" t="s">
        <v>506</v>
      </c>
      <c r="G324" s="27" t="s">
        <v>511</v>
      </c>
      <c r="H324" s="27" t="s">
        <v>513</v>
      </c>
      <c r="I324" s="27" t="s">
        <v>516</v>
      </c>
      <c r="J324" s="27" t="s">
        <v>516</v>
      </c>
      <c r="K324" s="27" t="s">
        <v>529</v>
      </c>
      <c r="L324" s="27" t="s">
        <v>539</v>
      </c>
      <c r="M324" s="30">
        <v>42584</v>
      </c>
      <c r="N324" s="30"/>
      <c r="O324" s="30"/>
      <c r="P324" s="27" t="s">
        <v>105</v>
      </c>
      <c r="Q324" s="32">
        <v>1</v>
      </c>
      <c r="R324" s="32">
        <v>2.0476851851851898</v>
      </c>
      <c r="S324" s="32">
        <v>2.04799768518519</v>
      </c>
      <c r="T324" s="32">
        <v>0</v>
      </c>
      <c r="U324" s="32">
        <v>1</v>
      </c>
      <c r="V324" s="32">
        <v>2.0467939814814802</v>
      </c>
      <c r="W324" s="32">
        <v>56</v>
      </c>
      <c r="X324" s="32">
        <v>13</v>
      </c>
      <c r="Y324" s="32">
        <v>13</v>
      </c>
      <c r="Z324" s="32">
        <v>0</v>
      </c>
      <c r="AA324" s="32">
        <v>1</v>
      </c>
      <c r="AC324" s="29"/>
    </row>
    <row r="325" spans="1:29" x14ac:dyDescent="0.25">
      <c r="A325" s="28" t="s">
        <v>609</v>
      </c>
      <c r="B325" s="28" t="s">
        <v>14</v>
      </c>
      <c r="C325" s="28" t="s">
        <v>13</v>
      </c>
      <c r="D325" s="28" t="s">
        <v>154</v>
      </c>
      <c r="E325" s="28" t="s">
        <v>21</v>
      </c>
      <c r="F325" s="28" t="s">
        <v>506</v>
      </c>
      <c r="G325" s="28" t="s">
        <v>511</v>
      </c>
      <c r="H325" s="28" t="s">
        <v>513</v>
      </c>
      <c r="I325" s="28" t="s">
        <v>516</v>
      </c>
      <c r="J325" s="28" t="s">
        <v>516</v>
      </c>
      <c r="K325" s="28" t="s">
        <v>529</v>
      </c>
      <c r="L325" s="28" t="s">
        <v>539</v>
      </c>
      <c r="M325" s="31">
        <v>42585</v>
      </c>
      <c r="N325" s="31"/>
      <c r="O325" s="31"/>
      <c r="P325" s="28" t="s">
        <v>104</v>
      </c>
      <c r="Q325" s="33">
        <v>1</v>
      </c>
      <c r="R325" s="33">
        <v>5.9273726851851896</v>
      </c>
      <c r="S325" s="33">
        <v>5.9281481481481499</v>
      </c>
      <c r="T325" s="33">
        <v>0</v>
      </c>
      <c r="U325" s="33">
        <v>1</v>
      </c>
      <c r="V325" s="33">
        <v>5.9243518518518501</v>
      </c>
      <c r="W325" s="33">
        <v>56</v>
      </c>
      <c r="X325" s="33">
        <v>24</v>
      </c>
      <c r="Y325" s="33">
        <v>24</v>
      </c>
      <c r="Z325" s="33">
        <v>0</v>
      </c>
      <c r="AA325" s="33">
        <v>1</v>
      </c>
      <c r="AC325" s="29"/>
    </row>
    <row r="326" spans="1:29" x14ac:dyDescent="0.25">
      <c r="A326" s="27" t="s">
        <v>610</v>
      </c>
      <c r="B326" s="27" t="s">
        <v>19</v>
      </c>
      <c r="C326" s="27" t="s">
        <v>13</v>
      </c>
      <c r="D326" s="27" t="s">
        <v>75</v>
      </c>
      <c r="E326" s="27" t="s">
        <v>28</v>
      </c>
      <c r="F326" s="27" t="s">
        <v>505</v>
      </c>
      <c r="G326" s="27" t="s">
        <v>156</v>
      </c>
      <c r="H326" s="27" t="s">
        <v>513</v>
      </c>
      <c r="I326" s="27" t="s">
        <v>517</v>
      </c>
      <c r="J326" s="27" t="s">
        <v>527</v>
      </c>
      <c r="K326" s="27" t="s">
        <v>529</v>
      </c>
      <c r="L326" s="27" t="s">
        <v>539</v>
      </c>
      <c r="M326" s="30">
        <v>42586</v>
      </c>
      <c r="N326" s="30">
        <v>42586</v>
      </c>
      <c r="O326" s="30">
        <v>42625</v>
      </c>
      <c r="P326" s="27" t="s">
        <v>101</v>
      </c>
      <c r="Q326" s="32">
        <v>1</v>
      </c>
      <c r="R326" s="32">
        <v>39.107025462963001</v>
      </c>
      <c r="S326" s="32">
        <v>68.9852430555556</v>
      </c>
      <c r="T326" s="32">
        <v>1</v>
      </c>
      <c r="U326" s="32">
        <v>1</v>
      </c>
      <c r="V326" s="32">
        <v>39.104270833333302</v>
      </c>
      <c r="W326" s="32">
        <v>45</v>
      </c>
      <c r="X326" s="32">
        <v>29</v>
      </c>
      <c r="Y326" s="32">
        <v>0</v>
      </c>
      <c r="Z326" s="32">
        <v>29</v>
      </c>
      <c r="AA326" s="32">
        <v>1</v>
      </c>
      <c r="AC326" s="29"/>
    </row>
    <row r="327" spans="1:29" x14ac:dyDescent="0.25">
      <c r="A327" s="28" t="s">
        <v>611</v>
      </c>
      <c r="B327" s="28" t="s">
        <v>14</v>
      </c>
      <c r="C327" s="28" t="s">
        <v>15</v>
      </c>
      <c r="D327" s="28" t="s">
        <v>154</v>
      </c>
      <c r="E327" s="28" t="s">
        <v>21</v>
      </c>
      <c r="F327" s="28" t="s">
        <v>506</v>
      </c>
      <c r="G327" s="28" t="s">
        <v>511</v>
      </c>
      <c r="H327" s="28" t="s">
        <v>513</v>
      </c>
      <c r="I327" s="28" t="s">
        <v>516</v>
      </c>
      <c r="J327" s="28" t="s">
        <v>516</v>
      </c>
      <c r="K327" s="28" t="s">
        <v>529</v>
      </c>
      <c r="L327" s="28" t="s">
        <v>539</v>
      </c>
      <c r="M327" s="31">
        <v>42586</v>
      </c>
      <c r="N327" s="31"/>
      <c r="O327" s="31"/>
      <c r="P327" s="28" t="s">
        <v>104</v>
      </c>
      <c r="Q327" s="33">
        <v>1</v>
      </c>
      <c r="R327" s="33">
        <v>13.3312962962963</v>
      </c>
      <c r="S327" s="33">
        <v>13.331504629629601</v>
      </c>
      <c r="T327" s="33">
        <v>0</v>
      </c>
      <c r="U327" s="33">
        <v>1</v>
      </c>
      <c r="V327" s="33">
        <v>13.33</v>
      </c>
      <c r="W327" s="33">
        <v>140</v>
      </c>
      <c r="X327" s="33">
        <v>17</v>
      </c>
      <c r="Y327" s="33">
        <v>17</v>
      </c>
      <c r="Z327" s="33">
        <v>0</v>
      </c>
      <c r="AA327" s="33">
        <v>1</v>
      </c>
      <c r="AC327" s="29"/>
    </row>
    <row r="328" spans="1:29" x14ac:dyDescent="0.25">
      <c r="A328" s="27" t="s">
        <v>612</v>
      </c>
      <c r="B328" s="27" t="s">
        <v>14</v>
      </c>
      <c r="C328" s="27" t="s">
        <v>15</v>
      </c>
      <c r="D328" s="27" t="s">
        <v>154</v>
      </c>
      <c r="E328" s="27" t="s">
        <v>21</v>
      </c>
      <c r="F328" s="27" t="s">
        <v>506</v>
      </c>
      <c r="G328" s="27" t="s">
        <v>511</v>
      </c>
      <c r="H328" s="27" t="s">
        <v>513</v>
      </c>
      <c r="I328" s="27" t="s">
        <v>516</v>
      </c>
      <c r="J328" s="27" t="s">
        <v>516</v>
      </c>
      <c r="K328" s="27" t="s">
        <v>529</v>
      </c>
      <c r="L328" s="27" t="s">
        <v>539</v>
      </c>
      <c r="M328" s="30">
        <v>42586</v>
      </c>
      <c r="N328" s="30"/>
      <c r="O328" s="30"/>
      <c r="P328" s="27" t="s">
        <v>107</v>
      </c>
      <c r="Q328" s="32">
        <v>1</v>
      </c>
      <c r="R328" s="32">
        <v>17.467199074074099</v>
      </c>
      <c r="S328" s="32">
        <v>17.475173611111099</v>
      </c>
      <c r="T328" s="32">
        <v>0</v>
      </c>
      <c r="U328" s="32">
        <v>1</v>
      </c>
      <c r="V328" s="32">
        <v>15.609918981481499</v>
      </c>
      <c r="W328" s="32">
        <v>140</v>
      </c>
      <c r="X328" s="32">
        <v>7.5</v>
      </c>
      <c r="Y328" s="32">
        <v>7.5</v>
      </c>
      <c r="Z328" s="32">
        <v>0</v>
      </c>
      <c r="AA328" s="32">
        <v>1</v>
      </c>
      <c r="AC328" s="29"/>
    </row>
    <row r="329" spans="1:29" x14ac:dyDescent="0.25">
      <c r="A329" s="28" t="s">
        <v>613</v>
      </c>
      <c r="B329" s="28" t="s">
        <v>14</v>
      </c>
      <c r="C329" s="28" t="s">
        <v>13</v>
      </c>
      <c r="D329" s="28" t="s">
        <v>154</v>
      </c>
      <c r="E329" s="28" t="s">
        <v>21</v>
      </c>
      <c r="F329" s="28" t="s">
        <v>506</v>
      </c>
      <c r="G329" s="28" t="s">
        <v>511</v>
      </c>
      <c r="H329" s="28" t="s">
        <v>513</v>
      </c>
      <c r="I329" s="28" t="s">
        <v>516</v>
      </c>
      <c r="J329" s="28" t="s">
        <v>516</v>
      </c>
      <c r="K329" s="28" t="s">
        <v>529</v>
      </c>
      <c r="L329" s="28" t="s">
        <v>539</v>
      </c>
      <c r="M329" s="31">
        <v>42586</v>
      </c>
      <c r="N329" s="31"/>
      <c r="O329" s="31"/>
      <c r="P329" s="28" t="s">
        <v>98</v>
      </c>
      <c r="Q329" s="33">
        <v>1</v>
      </c>
      <c r="R329" s="33">
        <v>5.9152546296296302</v>
      </c>
      <c r="S329" s="33">
        <v>14.096678240740699</v>
      </c>
      <c r="T329" s="33">
        <v>0</v>
      </c>
      <c r="U329" s="33">
        <v>1</v>
      </c>
      <c r="V329" s="33">
        <v>5.9148726851851903</v>
      </c>
      <c r="W329" s="33">
        <v>56</v>
      </c>
      <c r="X329" s="33">
        <v>13</v>
      </c>
      <c r="Y329" s="33">
        <v>13</v>
      </c>
      <c r="Z329" s="33">
        <v>0</v>
      </c>
      <c r="AA329" s="33">
        <v>1</v>
      </c>
      <c r="AC329" s="29"/>
    </row>
    <row r="330" spans="1:29" x14ac:dyDescent="0.25">
      <c r="A330" s="27" t="s">
        <v>614</v>
      </c>
      <c r="B330" s="27" t="s">
        <v>14</v>
      </c>
      <c r="C330" s="27" t="s">
        <v>16</v>
      </c>
      <c r="D330" s="27" t="s">
        <v>154</v>
      </c>
      <c r="E330" s="27" t="s">
        <v>21</v>
      </c>
      <c r="F330" s="27" t="s">
        <v>506</v>
      </c>
      <c r="G330" s="27" t="s">
        <v>511</v>
      </c>
      <c r="H330" s="27" t="s">
        <v>513</v>
      </c>
      <c r="I330" s="27" t="s">
        <v>516</v>
      </c>
      <c r="J330" s="27" t="s">
        <v>516</v>
      </c>
      <c r="K330" s="27" t="s">
        <v>529</v>
      </c>
      <c r="L330" s="27" t="s">
        <v>539</v>
      </c>
      <c r="M330" s="30">
        <v>42590</v>
      </c>
      <c r="N330" s="30"/>
      <c r="O330" s="30"/>
      <c r="P330" s="27" t="s">
        <v>105</v>
      </c>
      <c r="Q330" s="32">
        <v>1</v>
      </c>
      <c r="R330" s="32">
        <v>4.7554050925925901</v>
      </c>
      <c r="S330" s="32">
        <v>7.5403587962963003</v>
      </c>
      <c r="T330" s="32">
        <v>0</v>
      </c>
      <c r="U330" s="32">
        <v>1</v>
      </c>
      <c r="V330" s="32">
        <v>4.75443287037037</v>
      </c>
      <c r="W330" s="32">
        <v>28</v>
      </c>
      <c r="X330" s="32">
        <v>12.5</v>
      </c>
      <c r="Y330" s="32">
        <v>12.5</v>
      </c>
      <c r="Z330" s="32">
        <v>0</v>
      </c>
      <c r="AA330" s="32">
        <v>1</v>
      </c>
      <c r="AC330" s="29"/>
    </row>
    <row r="331" spans="1:29" x14ac:dyDescent="0.25">
      <c r="A331" s="28" t="s">
        <v>615</v>
      </c>
      <c r="B331" s="28" t="s">
        <v>14</v>
      </c>
      <c r="C331" s="28" t="s">
        <v>13</v>
      </c>
      <c r="D331" s="28" t="s">
        <v>154</v>
      </c>
      <c r="E331" s="28" t="s">
        <v>21</v>
      </c>
      <c r="F331" s="28" t="s">
        <v>506</v>
      </c>
      <c r="G331" s="28" t="s">
        <v>511</v>
      </c>
      <c r="H331" s="28" t="s">
        <v>513</v>
      </c>
      <c r="I331" s="28" t="s">
        <v>516</v>
      </c>
      <c r="J331" s="28" t="s">
        <v>516</v>
      </c>
      <c r="K331" s="28" t="s">
        <v>529</v>
      </c>
      <c r="L331" s="28" t="s">
        <v>539</v>
      </c>
      <c r="M331" s="31">
        <v>42590</v>
      </c>
      <c r="N331" s="31"/>
      <c r="O331" s="31"/>
      <c r="P331" s="28" t="s">
        <v>104</v>
      </c>
      <c r="Q331" s="33">
        <v>1</v>
      </c>
      <c r="R331" s="33">
        <v>6.8214120370370397</v>
      </c>
      <c r="S331" s="33">
        <v>6.8227777777777803</v>
      </c>
      <c r="T331" s="33">
        <v>0</v>
      </c>
      <c r="U331" s="33">
        <v>1</v>
      </c>
      <c r="V331" s="33">
        <v>6.81681712962963</v>
      </c>
      <c r="W331" s="33">
        <v>56</v>
      </c>
      <c r="X331" s="33">
        <v>16</v>
      </c>
      <c r="Y331" s="33">
        <v>16</v>
      </c>
      <c r="Z331" s="33">
        <v>0</v>
      </c>
      <c r="AA331" s="33">
        <v>1</v>
      </c>
      <c r="AC331" s="29"/>
    </row>
    <row r="332" spans="1:29" x14ac:dyDescent="0.25">
      <c r="A332" s="27" t="s">
        <v>616</v>
      </c>
      <c r="B332" s="27" t="s">
        <v>18</v>
      </c>
      <c r="C332" s="27" t="s">
        <v>13</v>
      </c>
      <c r="D332" s="27" t="s">
        <v>154</v>
      </c>
      <c r="E332" s="27" t="s">
        <v>21</v>
      </c>
      <c r="F332" s="27" t="s">
        <v>505</v>
      </c>
      <c r="G332" s="27" t="s">
        <v>512</v>
      </c>
      <c r="H332" s="27" t="s">
        <v>513</v>
      </c>
      <c r="I332" s="27" t="s">
        <v>517</v>
      </c>
      <c r="J332" s="27" t="s">
        <v>516</v>
      </c>
      <c r="K332" s="27" t="s">
        <v>529</v>
      </c>
      <c r="L332" s="27" t="s">
        <v>539</v>
      </c>
      <c r="M332" s="30">
        <v>42593</v>
      </c>
      <c r="N332" s="30">
        <v>42593</v>
      </c>
      <c r="O332" s="30">
        <v>42593</v>
      </c>
      <c r="P332" s="27" t="s">
        <v>102</v>
      </c>
      <c r="Q332" s="32">
        <v>1</v>
      </c>
      <c r="R332" s="32">
        <v>3.98399305555556</v>
      </c>
      <c r="S332" s="32">
        <v>3.98469907407407</v>
      </c>
      <c r="T332" s="32">
        <v>0</v>
      </c>
      <c r="U332" s="32">
        <v>1</v>
      </c>
      <c r="V332" s="32">
        <v>3.9833101851851902</v>
      </c>
      <c r="W332" s="32">
        <v>56</v>
      </c>
      <c r="X332" s="32">
        <v>9</v>
      </c>
      <c r="Y332" s="32">
        <v>9</v>
      </c>
      <c r="Z332" s="32">
        <v>0</v>
      </c>
      <c r="AA332" s="32">
        <v>1</v>
      </c>
      <c r="AC332" s="29"/>
    </row>
    <row r="333" spans="1:29" x14ac:dyDescent="0.25">
      <c r="A333" s="28" t="s">
        <v>617</v>
      </c>
      <c r="B333" s="28" t="s">
        <v>14</v>
      </c>
      <c r="C333" s="28" t="s">
        <v>13</v>
      </c>
      <c r="D333" s="28" t="s">
        <v>154</v>
      </c>
      <c r="E333" s="28" t="s">
        <v>21</v>
      </c>
      <c r="F333" s="28" t="s">
        <v>506</v>
      </c>
      <c r="G333" s="28" t="s">
        <v>511</v>
      </c>
      <c r="H333" s="28" t="s">
        <v>513</v>
      </c>
      <c r="I333" s="28" t="s">
        <v>516</v>
      </c>
      <c r="J333" s="28" t="s">
        <v>516</v>
      </c>
      <c r="K333" s="28" t="s">
        <v>529</v>
      </c>
      <c r="L333" s="28" t="s">
        <v>539</v>
      </c>
      <c r="M333" s="31">
        <v>42598</v>
      </c>
      <c r="N333" s="31"/>
      <c r="O333" s="31"/>
      <c r="P333" s="28" t="s">
        <v>102</v>
      </c>
      <c r="Q333" s="33">
        <v>1</v>
      </c>
      <c r="R333" s="33">
        <v>3.51064814814815</v>
      </c>
      <c r="S333" s="33">
        <v>3.5108101851851901</v>
      </c>
      <c r="T333" s="33">
        <v>0</v>
      </c>
      <c r="U333" s="33">
        <v>1</v>
      </c>
      <c r="V333" s="33">
        <v>3.5101736111111101</v>
      </c>
      <c r="W333" s="33">
        <v>56</v>
      </c>
      <c r="X333" s="33">
        <v>18</v>
      </c>
      <c r="Y333" s="33">
        <v>18</v>
      </c>
      <c r="Z333" s="33">
        <v>0</v>
      </c>
      <c r="AA333" s="33">
        <v>1</v>
      </c>
      <c r="AC333" s="29"/>
    </row>
    <row r="334" spans="1:29" x14ac:dyDescent="0.25">
      <c r="A334" s="27" t="s">
        <v>618</v>
      </c>
      <c r="B334" s="27" t="s">
        <v>14</v>
      </c>
      <c r="C334" s="27" t="s">
        <v>13</v>
      </c>
      <c r="D334" s="27" t="s">
        <v>154</v>
      </c>
      <c r="E334" s="27" t="s">
        <v>21</v>
      </c>
      <c r="F334" s="27" t="s">
        <v>506</v>
      </c>
      <c r="G334" s="27" t="s">
        <v>511</v>
      </c>
      <c r="H334" s="27" t="s">
        <v>513</v>
      </c>
      <c r="I334" s="27" t="s">
        <v>516</v>
      </c>
      <c r="J334" s="27" t="s">
        <v>516</v>
      </c>
      <c r="K334" s="27" t="s">
        <v>529</v>
      </c>
      <c r="L334" s="27" t="s">
        <v>539</v>
      </c>
      <c r="M334" s="30">
        <v>42599</v>
      </c>
      <c r="N334" s="30"/>
      <c r="O334" s="30"/>
      <c r="P334" s="27" t="s">
        <v>101</v>
      </c>
      <c r="Q334" s="32">
        <v>1</v>
      </c>
      <c r="R334" s="32">
        <v>22.026053240740701</v>
      </c>
      <c r="S334" s="32">
        <v>22.026782407407399</v>
      </c>
      <c r="T334" s="32">
        <v>0</v>
      </c>
      <c r="U334" s="32">
        <v>1</v>
      </c>
      <c r="V334" s="32">
        <v>22.025775462963001</v>
      </c>
      <c r="W334" s="32">
        <v>56</v>
      </c>
      <c r="X334" s="32">
        <v>11</v>
      </c>
      <c r="Y334" s="32">
        <v>11</v>
      </c>
      <c r="Z334" s="32">
        <v>0</v>
      </c>
      <c r="AA334" s="32">
        <v>1</v>
      </c>
      <c r="AC334" s="29"/>
    </row>
    <row r="335" spans="1:29" x14ac:dyDescent="0.25">
      <c r="A335" s="28" t="s">
        <v>619</v>
      </c>
      <c r="B335" s="28" t="s">
        <v>14</v>
      </c>
      <c r="C335" s="28" t="s">
        <v>16</v>
      </c>
      <c r="D335" s="28" t="s">
        <v>154</v>
      </c>
      <c r="E335" s="28" t="s">
        <v>21</v>
      </c>
      <c r="F335" s="28" t="s">
        <v>506</v>
      </c>
      <c r="G335" s="28" t="s">
        <v>511</v>
      </c>
      <c r="H335" s="28" t="s">
        <v>513</v>
      </c>
      <c r="I335" s="28" t="s">
        <v>516</v>
      </c>
      <c r="J335" s="28" t="s">
        <v>516</v>
      </c>
      <c r="K335" s="28" t="s">
        <v>529</v>
      </c>
      <c r="L335" s="28" t="s">
        <v>539</v>
      </c>
      <c r="M335" s="31">
        <v>42600</v>
      </c>
      <c r="N335" s="31"/>
      <c r="O335" s="31"/>
      <c r="P335" s="28" t="s">
        <v>102</v>
      </c>
      <c r="Q335" s="33">
        <v>1</v>
      </c>
      <c r="R335" s="33">
        <v>4.4688310185185198</v>
      </c>
      <c r="S335" s="33">
        <v>6.4077199074074098</v>
      </c>
      <c r="T335" s="33">
        <v>0</v>
      </c>
      <c r="U335" s="33">
        <v>1</v>
      </c>
      <c r="V335" s="33">
        <v>4.4683912037036997</v>
      </c>
      <c r="W335" s="33">
        <v>28</v>
      </c>
      <c r="X335" s="33">
        <v>8</v>
      </c>
      <c r="Y335" s="33">
        <v>8</v>
      </c>
      <c r="Z335" s="33">
        <v>0</v>
      </c>
      <c r="AA335" s="33">
        <v>1</v>
      </c>
      <c r="AC335" s="29"/>
    </row>
    <row r="336" spans="1:29" x14ac:dyDescent="0.25">
      <c r="A336" s="27" t="s">
        <v>620</v>
      </c>
      <c r="B336" s="27" t="s">
        <v>14</v>
      </c>
      <c r="C336" s="27" t="s">
        <v>13</v>
      </c>
      <c r="D336" s="27" t="s">
        <v>154</v>
      </c>
      <c r="E336" s="27" t="s">
        <v>21</v>
      </c>
      <c r="F336" s="27" t="s">
        <v>506</v>
      </c>
      <c r="G336" s="27" t="s">
        <v>511</v>
      </c>
      <c r="H336" s="27" t="s">
        <v>513</v>
      </c>
      <c r="I336" s="27" t="s">
        <v>516</v>
      </c>
      <c r="J336" s="27" t="s">
        <v>516</v>
      </c>
      <c r="K336" s="27" t="s">
        <v>529</v>
      </c>
      <c r="L336" s="27" t="s">
        <v>539</v>
      </c>
      <c r="M336" s="30">
        <v>42601</v>
      </c>
      <c r="N336" s="30"/>
      <c r="O336" s="30"/>
      <c r="P336" s="27" t="s">
        <v>102</v>
      </c>
      <c r="Q336" s="32">
        <v>1</v>
      </c>
      <c r="R336" s="32">
        <v>5.1209143518518498</v>
      </c>
      <c r="S336" s="32">
        <v>11.0734953703704</v>
      </c>
      <c r="T336" s="32">
        <v>0</v>
      </c>
      <c r="U336" s="32">
        <v>1</v>
      </c>
      <c r="V336" s="32">
        <v>5.1201620370370398</v>
      </c>
      <c r="W336" s="32">
        <v>56</v>
      </c>
      <c r="X336" s="32">
        <v>9</v>
      </c>
      <c r="Y336" s="32">
        <v>9</v>
      </c>
      <c r="Z336" s="32">
        <v>0</v>
      </c>
      <c r="AA336" s="32">
        <v>1</v>
      </c>
      <c r="AC336" s="29"/>
    </row>
    <row r="337" spans="1:29" x14ac:dyDescent="0.25">
      <c r="A337" s="28" t="s">
        <v>621</v>
      </c>
      <c r="B337" s="28" t="s">
        <v>14</v>
      </c>
      <c r="C337" s="28" t="s">
        <v>13</v>
      </c>
      <c r="D337" s="28" t="s">
        <v>154</v>
      </c>
      <c r="E337" s="28" t="s">
        <v>21</v>
      </c>
      <c r="F337" s="28" t="s">
        <v>506</v>
      </c>
      <c r="G337" s="28" t="s">
        <v>511</v>
      </c>
      <c r="H337" s="28" t="s">
        <v>513</v>
      </c>
      <c r="I337" s="28" t="s">
        <v>516</v>
      </c>
      <c r="J337" s="28" t="s">
        <v>516</v>
      </c>
      <c r="K337" s="28" t="s">
        <v>529</v>
      </c>
      <c r="L337" s="28" t="s">
        <v>539</v>
      </c>
      <c r="M337" s="31">
        <v>42601</v>
      </c>
      <c r="N337" s="31"/>
      <c r="O337" s="31"/>
      <c r="P337" s="28" t="s">
        <v>117</v>
      </c>
      <c r="Q337" s="33">
        <v>1</v>
      </c>
      <c r="R337" s="33">
        <v>21.0459606481481</v>
      </c>
      <c r="S337" s="33">
        <v>21.048483796296299</v>
      </c>
      <c r="T337" s="33">
        <v>0</v>
      </c>
      <c r="U337" s="33">
        <v>1</v>
      </c>
      <c r="V337" s="33">
        <v>21.044305555555599</v>
      </c>
      <c r="W337" s="33">
        <v>56</v>
      </c>
      <c r="X337" s="33">
        <v>8</v>
      </c>
      <c r="Y337" s="33">
        <v>8</v>
      </c>
      <c r="Z337" s="33">
        <v>0</v>
      </c>
      <c r="AA337" s="33">
        <v>1</v>
      </c>
      <c r="AC337" s="29"/>
    </row>
    <row r="338" spans="1:29" x14ac:dyDescent="0.25">
      <c r="A338" s="27" t="s">
        <v>622</v>
      </c>
      <c r="B338" s="27" t="s">
        <v>14</v>
      </c>
      <c r="C338" s="27" t="s">
        <v>16</v>
      </c>
      <c r="D338" s="27" t="s">
        <v>154</v>
      </c>
      <c r="E338" s="27" t="s">
        <v>21</v>
      </c>
      <c r="F338" s="27" t="s">
        <v>506</v>
      </c>
      <c r="G338" s="27" t="s">
        <v>511</v>
      </c>
      <c r="H338" s="27" t="s">
        <v>513</v>
      </c>
      <c r="I338" s="27" t="s">
        <v>516</v>
      </c>
      <c r="J338" s="27" t="s">
        <v>516</v>
      </c>
      <c r="K338" s="27" t="s">
        <v>529</v>
      </c>
      <c r="L338" s="27" t="s">
        <v>539</v>
      </c>
      <c r="M338" s="30">
        <v>42604</v>
      </c>
      <c r="N338" s="30"/>
      <c r="O338" s="30"/>
      <c r="P338" s="27" t="s">
        <v>105</v>
      </c>
      <c r="Q338" s="32">
        <v>1</v>
      </c>
      <c r="R338" s="32">
        <v>2.2187384259259302</v>
      </c>
      <c r="S338" s="32">
        <v>3.2623379629629601</v>
      </c>
      <c r="T338" s="32">
        <v>0</v>
      </c>
      <c r="U338" s="32">
        <v>1</v>
      </c>
      <c r="V338" s="32">
        <v>2.2171180555555599</v>
      </c>
      <c r="W338" s="32">
        <v>28</v>
      </c>
      <c r="X338" s="32">
        <v>8</v>
      </c>
      <c r="Y338" s="32">
        <v>8</v>
      </c>
      <c r="Z338" s="32">
        <v>0</v>
      </c>
      <c r="AA338" s="32">
        <v>1</v>
      </c>
      <c r="AC338" s="29"/>
    </row>
    <row r="339" spans="1:29" x14ac:dyDescent="0.25">
      <c r="A339" s="28" t="s">
        <v>623</v>
      </c>
      <c r="B339" s="28" t="s">
        <v>14</v>
      </c>
      <c r="C339" s="28" t="s">
        <v>13</v>
      </c>
      <c r="D339" s="28" t="s">
        <v>154</v>
      </c>
      <c r="E339" s="28" t="s">
        <v>21</v>
      </c>
      <c r="F339" s="28" t="s">
        <v>506</v>
      </c>
      <c r="G339" s="28" t="s">
        <v>511</v>
      </c>
      <c r="H339" s="28" t="s">
        <v>513</v>
      </c>
      <c r="I339" s="28" t="s">
        <v>517</v>
      </c>
      <c r="J339" s="28" t="s">
        <v>523</v>
      </c>
      <c r="K339" s="28" t="s">
        <v>529</v>
      </c>
      <c r="L339" s="28" t="s">
        <v>539</v>
      </c>
      <c r="M339" s="31">
        <v>42605</v>
      </c>
      <c r="N339" s="31">
        <v>42605</v>
      </c>
      <c r="O339" s="31">
        <v>42608</v>
      </c>
      <c r="P339" s="28" t="s">
        <v>112</v>
      </c>
      <c r="Q339" s="33">
        <v>1</v>
      </c>
      <c r="R339" s="33">
        <v>3.1806481481481499</v>
      </c>
      <c r="S339" s="33">
        <v>3.1823032407407399</v>
      </c>
      <c r="T339" s="33">
        <v>1</v>
      </c>
      <c r="U339" s="33">
        <v>1</v>
      </c>
      <c r="V339" s="33">
        <v>3.1799884259259299</v>
      </c>
      <c r="W339" s="33">
        <v>56</v>
      </c>
      <c r="X339" s="33">
        <v>10</v>
      </c>
      <c r="Y339" s="33">
        <v>8</v>
      </c>
      <c r="Z339" s="33">
        <v>2</v>
      </c>
      <c r="AA339" s="33">
        <v>1</v>
      </c>
      <c r="AC339" s="29"/>
    </row>
    <row r="340" spans="1:29" x14ac:dyDescent="0.25">
      <c r="A340" s="27" t="s">
        <v>624</v>
      </c>
      <c r="B340" s="27" t="s">
        <v>14</v>
      </c>
      <c r="C340" s="27" t="s">
        <v>13</v>
      </c>
      <c r="D340" s="27" t="s">
        <v>154</v>
      </c>
      <c r="E340" s="27" t="s">
        <v>21</v>
      </c>
      <c r="F340" s="27" t="s">
        <v>505</v>
      </c>
      <c r="G340" s="27" t="s">
        <v>512</v>
      </c>
      <c r="H340" s="27" t="s">
        <v>513</v>
      </c>
      <c r="I340" s="27" t="s">
        <v>517</v>
      </c>
      <c r="J340" s="27" t="s">
        <v>522</v>
      </c>
      <c r="K340" s="27" t="s">
        <v>529</v>
      </c>
      <c r="L340" s="27" t="s">
        <v>539</v>
      </c>
      <c r="M340" s="30">
        <v>42605</v>
      </c>
      <c r="N340" s="30">
        <v>42605</v>
      </c>
      <c r="O340" s="30">
        <v>42607</v>
      </c>
      <c r="P340" s="27" t="s">
        <v>102</v>
      </c>
      <c r="Q340" s="32">
        <v>1</v>
      </c>
      <c r="R340" s="32">
        <v>2.1543287037037002</v>
      </c>
      <c r="S340" s="32">
        <v>2.1547453703703701</v>
      </c>
      <c r="T340" s="32">
        <v>1</v>
      </c>
      <c r="U340" s="32">
        <v>1</v>
      </c>
      <c r="V340" s="32">
        <v>2.1533217592592599</v>
      </c>
      <c r="W340" s="32">
        <v>56</v>
      </c>
      <c r="X340" s="32">
        <v>15</v>
      </c>
      <c r="Y340" s="32">
        <v>7</v>
      </c>
      <c r="Z340" s="32">
        <v>8</v>
      </c>
      <c r="AA340" s="32">
        <v>1</v>
      </c>
      <c r="AC340" s="29"/>
    </row>
    <row r="341" spans="1:29" x14ac:dyDescent="0.25">
      <c r="A341" s="28" t="s">
        <v>625</v>
      </c>
      <c r="B341" s="28" t="s">
        <v>14</v>
      </c>
      <c r="C341" s="28" t="s">
        <v>15</v>
      </c>
      <c r="D341" s="28" t="s">
        <v>154</v>
      </c>
      <c r="E341" s="28" t="s">
        <v>21</v>
      </c>
      <c r="F341" s="28" t="s">
        <v>505</v>
      </c>
      <c r="G341" s="28" t="s">
        <v>156</v>
      </c>
      <c r="H341" s="28" t="s">
        <v>513</v>
      </c>
      <c r="I341" s="28" t="s">
        <v>516</v>
      </c>
      <c r="J341" s="28" t="s">
        <v>516</v>
      </c>
      <c r="K341" s="28" t="s">
        <v>529</v>
      </c>
      <c r="L341" s="28" t="s">
        <v>539</v>
      </c>
      <c r="M341" s="31">
        <v>42605</v>
      </c>
      <c r="N341" s="31"/>
      <c r="O341" s="31"/>
      <c r="P341" s="28" t="s">
        <v>109</v>
      </c>
      <c r="Q341" s="33">
        <v>1</v>
      </c>
      <c r="R341" s="33">
        <v>13.256122685185201</v>
      </c>
      <c r="S341" s="33">
        <v>23.332349537037</v>
      </c>
      <c r="T341" s="33">
        <v>0</v>
      </c>
      <c r="U341" s="33">
        <v>1</v>
      </c>
      <c r="V341" s="33">
        <v>13.2553472222222</v>
      </c>
      <c r="W341" s="33">
        <v>140</v>
      </c>
      <c r="X341" s="33">
        <v>9</v>
      </c>
      <c r="Y341" s="33">
        <v>9</v>
      </c>
      <c r="Z341" s="33">
        <v>0</v>
      </c>
      <c r="AA341" s="33">
        <v>1</v>
      </c>
      <c r="AC341" s="29"/>
    </row>
    <row r="342" spans="1:29" x14ac:dyDescent="0.25">
      <c r="A342" s="27" t="s">
        <v>626</v>
      </c>
      <c r="B342" s="27" t="s">
        <v>14</v>
      </c>
      <c r="C342" s="27" t="s">
        <v>13</v>
      </c>
      <c r="D342" s="27" t="s">
        <v>154</v>
      </c>
      <c r="E342" s="27" t="s">
        <v>21</v>
      </c>
      <c r="F342" s="27" t="s">
        <v>506</v>
      </c>
      <c r="G342" s="27" t="s">
        <v>511</v>
      </c>
      <c r="H342" s="27" t="s">
        <v>513</v>
      </c>
      <c r="I342" s="27" t="s">
        <v>516</v>
      </c>
      <c r="J342" s="27" t="s">
        <v>516</v>
      </c>
      <c r="K342" s="27" t="s">
        <v>529</v>
      </c>
      <c r="L342" s="27" t="s">
        <v>539</v>
      </c>
      <c r="M342" s="30">
        <v>42606</v>
      </c>
      <c r="N342" s="30"/>
      <c r="O342" s="30"/>
      <c r="P342" s="27" t="s">
        <v>105</v>
      </c>
      <c r="Q342" s="32">
        <v>1</v>
      </c>
      <c r="R342" s="32">
        <v>5.1531134259259304</v>
      </c>
      <c r="S342" s="32">
        <v>8.3307523148148199</v>
      </c>
      <c r="T342" s="32">
        <v>0</v>
      </c>
      <c r="U342" s="32">
        <v>1</v>
      </c>
      <c r="V342" s="32">
        <v>5.1518981481481498</v>
      </c>
      <c r="W342" s="32">
        <v>56</v>
      </c>
      <c r="X342" s="32">
        <v>8</v>
      </c>
      <c r="Y342" s="32">
        <v>8</v>
      </c>
      <c r="Z342" s="32">
        <v>0</v>
      </c>
      <c r="AA342" s="32">
        <v>1</v>
      </c>
      <c r="AC342" s="29"/>
    </row>
    <row r="343" spans="1:29" x14ac:dyDescent="0.25">
      <c r="A343" s="28" t="s">
        <v>627</v>
      </c>
      <c r="B343" s="28" t="s">
        <v>14</v>
      </c>
      <c r="C343" s="28" t="s">
        <v>13</v>
      </c>
      <c r="D343" s="28" t="s">
        <v>154</v>
      </c>
      <c r="E343" s="28" t="s">
        <v>21</v>
      </c>
      <c r="F343" s="28" t="s">
        <v>506</v>
      </c>
      <c r="G343" s="28" t="s">
        <v>511</v>
      </c>
      <c r="H343" s="28" t="s">
        <v>513</v>
      </c>
      <c r="I343" s="28" t="s">
        <v>517</v>
      </c>
      <c r="J343" s="28" t="s">
        <v>523</v>
      </c>
      <c r="K343" s="28" t="s">
        <v>529</v>
      </c>
      <c r="L343" s="28" t="s">
        <v>539</v>
      </c>
      <c r="M343" s="31">
        <v>42607</v>
      </c>
      <c r="N343" s="31">
        <v>42607</v>
      </c>
      <c r="O343" s="31">
        <v>42619</v>
      </c>
      <c r="P343" s="28" t="s">
        <v>107</v>
      </c>
      <c r="Q343" s="33">
        <v>1</v>
      </c>
      <c r="R343" s="33">
        <v>13.893587962963</v>
      </c>
      <c r="S343" s="33">
        <v>13.893715277777799</v>
      </c>
      <c r="T343" s="33">
        <v>1</v>
      </c>
      <c r="U343" s="33">
        <v>1</v>
      </c>
      <c r="V343" s="33">
        <v>13.8932638888889</v>
      </c>
      <c r="W343" s="33">
        <v>56</v>
      </c>
      <c r="X343" s="33">
        <v>26</v>
      </c>
      <c r="Y343" s="33">
        <v>15</v>
      </c>
      <c r="Z343" s="33">
        <v>11</v>
      </c>
      <c r="AA343" s="33">
        <v>1</v>
      </c>
      <c r="AC343" s="29"/>
    </row>
    <row r="344" spans="1:29" x14ac:dyDescent="0.25">
      <c r="A344" s="27" t="s">
        <v>628</v>
      </c>
      <c r="B344" s="27" t="s">
        <v>14</v>
      </c>
      <c r="C344" s="27" t="s">
        <v>13</v>
      </c>
      <c r="D344" s="27" t="s">
        <v>154</v>
      </c>
      <c r="E344" s="27" t="s">
        <v>21</v>
      </c>
      <c r="F344" s="27" t="s">
        <v>506</v>
      </c>
      <c r="G344" s="27" t="s">
        <v>511</v>
      </c>
      <c r="H344" s="27" t="s">
        <v>513</v>
      </c>
      <c r="I344" s="27" t="s">
        <v>517</v>
      </c>
      <c r="J344" s="27" t="s">
        <v>522</v>
      </c>
      <c r="K344" s="27" t="s">
        <v>640</v>
      </c>
      <c r="L344" s="27" t="s">
        <v>539</v>
      </c>
      <c r="M344" s="30">
        <v>42611</v>
      </c>
      <c r="N344" s="30">
        <v>42614</v>
      </c>
      <c r="O344" s="30">
        <v>42619</v>
      </c>
      <c r="P344" s="27" t="s">
        <v>115</v>
      </c>
      <c r="Q344" s="32">
        <v>1</v>
      </c>
      <c r="R344" s="32">
        <v>7.8695601851851897</v>
      </c>
      <c r="S344" s="32">
        <v>7.86989583333333</v>
      </c>
      <c r="T344" s="32">
        <v>1</v>
      </c>
      <c r="U344" s="32">
        <v>1</v>
      </c>
      <c r="V344" s="32">
        <v>7.8692476851851803</v>
      </c>
      <c r="W344" s="32">
        <v>56</v>
      </c>
      <c r="X344" s="32">
        <v>19</v>
      </c>
      <c r="Y344" s="32">
        <v>7</v>
      </c>
      <c r="Z344" s="32">
        <v>12</v>
      </c>
      <c r="AA344" s="32">
        <v>1</v>
      </c>
      <c r="AC344" s="29"/>
    </row>
    <row r="345" spans="1:29" x14ac:dyDescent="0.25">
      <c r="A345" s="28" t="s">
        <v>629</v>
      </c>
      <c r="B345" s="28" t="s">
        <v>14</v>
      </c>
      <c r="C345" s="28" t="s">
        <v>13</v>
      </c>
      <c r="D345" s="28" t="s">
        <v>154</v>
      </c>
      <c r="E345" s="28" t="s">
        <v>21</v>
      </c>
      <c r="F345" s="28" t="s">
        <v>506</v>
      </c>
      <c r="G345" s="28" t="s">
        <v>511</v>
      </c>
      <c r="H345" s="28" t="s">
        <v>513</v>
      </c>
      <c r="I345" s="28" t="s">
        <v>516</v>
      </c>
      <c r="J345" s="28" t="s">
        <v>516</v>
      </c>
      <c r="K345" s="28" t="s">
        <v>529</v>
      </c>
      <c r="L345" s="28" t="s">
        <v>539</v>
      </c>
      <c r="M345" s="31">
        <v>42611</v>
      </c>
      <c r="N345" s="31"/>
      <c r="O345" s="31"/>
      <c r="P345" s="28" t="s">
        <v>102</v>
      </c>
      <c r="Q345" s="33">
        <v>1</v>
      </c>
      <c r="R345" s="33">
        <v>4.1039236111111101</v>
      </c>
      <c r="S345" s="33">
        <v>4.1040856481481498</v>
      </c>
      <c r="T345" s="33">
        <v>0</v>
      </c>
      <c r="U345" s="33">
        <v>1</v>
      </c>
      <c r="V345" s="33">
        <v>4.10366898148148</v>
      </c>
      <c r="W345" s="33">
        <v>56</v>
      </c>
      <c r="X345" s="33">
        <v>9</v>
      </c>
      <c r="Y345" s="33">
        <v>9</v>
      </c>
      <c r="Z345" s="33">
        <v>0</v>
      </c>
      <c r="AA345" s="33">
        <v>1</v>
      </c>
      <c r="AC345" s="29"/>
    </row>
    <row r="346" spans="1:29" x14ac:dyDescent="0.25">
      <c r="A346" s="27" t="s">
        <v>630</v>
      </c>
      <c r="B346" s="27" t="s">
        <v>14</v>
      </c>
      <c r="C346" s="27" t="s">
        <v>13</v>
      </c>
      <c r="D346" s="27" t="s">
        <v>154</v>
      </c>
      <c r="E346" s="27" t="s">
        <v>21</v>
      </c>
      <c r="F346" s="27" t="s">
        <v>506</v>
      </c>
      <c r="G346" s="27" t="s">
        <v>511</v>
      </c>
      <c r="H346" s="27" t="s">
        <v>513</v>
      </c>
      <c r="I346" s="27" t="s">
        <v>516</v>
      </c>
      <c r="J346" s="27" t="s">
        <v>516</v>
      </c>
      <c r="K346" s="27" t="s">
        <v>529</v>
      </c>
      <c r="L346" s="27" t="s">
        <v>539</v>
      </c>
      <c r="M346" s="30">
        <v>42611</v>
      </c>
      <c r="N346" s="30"/>
      <c r="O346" s="30"/>
      <c r="P346" s="27" t="s">
        <v>102</v>
      </c>
      <c r="Q346" s="32">
        <v>1</v>
      </c>
      <c r="R346" s="32">
        <v>3.93372685185185</v>
      </c>
      <c r="S346" s="32">
        <v>3.93385416666667</v>
      </c>
      <c r="T346" s="32">
        <v>0</v>
      </c>
      <c r="U346" s="32">
        <v>1</v>
      </c>
      <c r="V346" s="32">
        <v>3.9333680555555599</v>
      </c>
      <c r="W346" s="32">
        <v>56</v>
      </c>
      <c r="X346" s="32">
        <v>8</v>
      </c>
      <c r="Y346" s="32">
        <v>8</v>
      </c>
      <c r="Z346" s="32">
        <v>0</v>
      </c>
      <c r="AA346" s="32">
        <v>1</v>
      </c>
      <c r="AC346" s="29"/>
    </row>
    <row r="347" spans="1:29" x14ac:dyDescent="0.25">
      <c r="A347" s="28" t="s">
        <v>631</v>
      </c>
      <c r="B347" s="28" t="s">
        <v>14</v>
      </c>
      <c r="C347" s="28" t="s">
        <v>13</v>
      </c>
      <c r="D347" s="28" t="s">
        <v>154</v>
      </c>
      <c r="E347" s="28" t="s">
        <v>21</v>
      </c>
      <c r="F347" s="28" t="s">
        <v>505</v>
      </c>
      <c r="G347" s="28" t="s">
        <v>512</v>
      </c>
      <c r="H347" s="28" t="s">
        <v>513</v>
      </c>
      <c r="I347" s="28" t="s">
        <v>516</v>
      </c>
      <c r="J347" s="28" t="s">
        <v>516</v>
      </c>
      <c r="K347" s="28" t="s">
        <v>529</v>
      </c>
      <c r="L347" s="28" t="s">
        <v>539</v>
      </c>
      <c r="M347" s="31">
        <v>42612</v>
      </c>
      <c r="N347" s="31"/>
      <c r="O347" s="31"/>
      <c r="P347" s="28" t="s">
        <v>102</v>
      </c>
      <c r="Q347" s="33">
        <v>1</v>
      </c>
      <c r="R347" s="33">
        <v>24.175138888888899</v>
      </c>
      <c r="S347" s="33">
        <v>24.175289351851902</v>
      </c>
      <c r="T347" s="33">
        <v>0</v>
      </c>
      <c r="U347" s="33">
        <v>1</v>
      </c>
      <c r="V347" s="33">
        <v>24.1747916666667</v>
      </c>
      <c r="W347" s="33">
        <v>56</v>
      </c>
      <c r="X347" s="33">
        <v>22</v>
      </c>
      <c r="Y347" s="33">
        <v>22</v>
      </c>
      <c r="Z347" s="33">
        <v>0</v>
      </c>
      <c r="AA347" s="33">
        <v>1</v>
      </c>
      <c r="AC347" s="29"/>
    </row>
    <row r="348" spans="1:29" x14ac:dyDescent="0.25">
      <c r="A348" s="27" t="s">
        <v>632</v>
      </c>
      <c r="B348" s="27" t="s">
        <v>14</v>
      </c>
      <c r="C348" s="27" t="s">
        <v>15</v>
      </c>
      <c r="D348" s="27" t="s">
        <v>154</v>
      </c>
      <c r="E348" s="27" t="s">
        <v>21</v>
      </c>
      <c r="F348" s="27" t="s">
        <v>506</v>
      </c>
      <c r="G348" s="27" t="s">
        <v>511</v>
      </c>
      <c r="H348" s="27" t="s">
        <v>513</v>
      </c>
      <c r="I348" s="27" t="s">
        <v>516</v>
      </c>
      <c r="J348" s="27" t="s">
        <v>516</v>
      </c>
      <c r="K348" s="27" t="s">
        <v>529</v>
      </c>
      <c r="L348" s="27" t="s">
        <v>539</v>
      </c>
      <c r="M348" s="30">
        <v>42612</v>
      </c>
      <c r="N348" s="30"/>
      <c r="O348" s="30"/>
      <c r="P348" s="27" t="s">
        <v>104</v>
      </c>
      <c r="Q348" s="32">
        <v>1</v>
      </c>
      <c r="R348" s="32">
        <v>9.9510300925925907</v>
      </c>
      <c r="S348" s="32">
        <v>9.9511574074074094</v>
      </c>
      <c r="T348" s="32">
        <v>0</v>
      </c>
      <c r="U348" s="32">
        <v>1</v>
      </c>
      <c r="V348" s="32">
        <v>9.9507638888888899</v>
      </c>
      <c r="W348" s="32">
        <v>140</v>
      </c>
      <c r="X348" s="32">
        <v>15.5</v>
      </c>
      <c r="Y348" s="32">
        <v>15.5</v>
      </c>
      <c r="Z348" s="32">
        <v>0</v>
      </c>
      <c r="AA348" s="32">
        <v>1</v>
      </c>
      <c r="AC348" s="29"/>
    </row>
    <row r="349" spans="1:29" x14ac:dyDescent="0.25">
      <c r="A349" s="28" t="s">
        <v>633</v>
      </c>
      <c r="B349" s="28" t="s">
        <v>14</v>
      </c>
      <c r="C349" s="28" t="s">
        <v>16</v>
      </c>
      <c r="D349" s="28" t="s">
        <v>154</v>
      </c>
      <c r="E349" s="28" t="s">
        <v>21</v>
      </c>
      <c r="F349" s="28" t="s">
        <v>506</v>
      </c>
      <c r="G349" s="28" t="s">
        <v>511</v>
      </c>
      <c r="H349" s="28" t="s">
        <v>513</v>
      </c>
      <c r="I349" s="28" t="s">
        <v>516</v>
      </c>
      <c r="J349" s="28" t="s">
        <v>516</v>
      </c>
      <c r="K349" s="28" t="s">
        <v>529</v>
      </c>
      <c r="L349" s="28" t="s">
        <v>539</v>
      </c>
      <c r="M349" s="31">
        <v>42613</v>
      </c>
      <c r="N349" s="31"/>
      <c r="O349" s="31"/>
      <c r="P349" s="28" t="s">
        <v>105</v>
      </c>
      <c r="Q349" s="33">
        <v>1</v>
      </c>
      <c r="R349" s="33">
        <v>1.3188194444444401</v>
      </c>
      <c r="S349" s="33">
        <v>1.31899305555556</v>
      </c>
      <c r="T349" s="33">
        <v>0</v>
      </c>
      <c r="U349" s="33">
        <v>1</v>
      </c>
      <c r="V349" s="33">
        <v>1.31759259259259</v>
      </c>
      <c r="W349" s="33">
        <v>28</v>
      </c>
      <c r="X349" s="33">
        <v>8</v>
      </c>
      <c r="Y349" s="33">
        <v>8</v>
      </c>
      <c r="Z349" s="33">
        <v>0</v>
      </c>
      <c r="AA349" s="33">
        <v>1</v>
      </c>
      <c r="AC349" s="29"/>
    </row>
    <row r="350" spans="1:29" x14ac:dyDescent="0.25">
      <c r="A350" s="27" t="s">
        <v>634</v>
      </c>
      <c r="B350" s="27" t="s">
        <v>14</v>
      </c>
      <c r="C350" s="27" t="s">
        <v>13</v>
      </c>
      <c r="D350" s="27" t="s">
        <v>154</v>
      </c>
      <c r="E350" s="27" t="s">
        <v>21</v>
      </c>
      <c r="F350" s="27" t="s">
        <v>506</v>
      </c>
      <c r="G350" s="27" t="s">
        <v>511</v>
      </c>
      <c r="H350" s="27" t="s">
        <v>513</v>
      </c>
      <c r="I350" s="27" t="s">
        <v>516</v>
      </c>
      <c r="J350" s="27" t="s">
        <v>516</v>
      </c>
      <c r="K350" s="27" t="s">
        <v>529</v>
      </c>
      <c r="L350" s="27" t="s">
        <v>539</v>
      </c>
      <c r="M350" s="30">
        <v>42614</v>
      </c>
      <c r="N350" s="30"/>
      <c r="O350" s="30"/>
      <c r="P350" s="27" t="s">
        <v>105</v>
      </c>
      <c r="Q350" s="32">
        <v>1</v>
      </c>
      <c r="R350" s="32">
        <v>12.1470138888889</v>
      </c>
      <c r="S350" s="32">
        <v>12.148310185185199</v>
      </c>
      <c r="T350" s="32">
        <v>0</v>
      </c>
      <c r="U350" s="32">
        <v>1</v>
      </c>
      <c r="V350" s="32">
        <v>12.146516203703699</v>
      </c>
      <c r="W350" s="32">
        <v>56</v>
      </c>
      <c r="X350" s="32">
        <v>9</v>
      </c>
      <c r="Y350" s="32">
        <v>9</v>
      </c>
      <c r="Z350" s="32">
        <v>0</v>
      </c>
      <c r="AA350" s="32">
        <v>1</v>
      </c>
      <c r="AC350" s="29"/>
    </row>
    <row r="351" spans="1:29" x14ac:dyDescent="0.25">
      <c r="A351" s="28" t="s">
        <v>635</v>
      </c>
      <c r="B351" s="28" t="s">
        <v>14</v>
      </c>
      <c r="C351" s="28" t="s">
        <v>13</v>
      </c>
      <c r="D351" s="28" t="s">
        <v>154</v>
      </c>
      <c r="E351" s="28" t="s">
        <v>21</v>
      </c>
      <c r="F351" s="28" t="s">
        <v>505</v>
      </c>
      <c r="G351" s="28" t="s">
        <v>512</v>
      </c>
      <c r="H351" s="28" t="s">
        <v>513</v>
      </c>
      <c r="I351" s="28" t="s">
        <v>516</v>
      </c>
      <c r="J351" s="28" t="s">
        <v>516</v>
      </c>
      <c r="K351" s="28" t="s">
        <v>529</v>
      </c>
      <c r="L351" s="28" t="s">
        <v>539</v>
      </c>
      <c r="M351" s="31">
        <v>42619</v>
      </c>
      <c r="N351" s="31"/>
      <c r="O351" s="31"/>
      <c r="P351" s="28" t="s">
        <v>110</v>
      </c>
      <c r="Q351" s="33">
        <v>1</v>
      </c>
      <c r="R351" s="33">
        <v>22.946550925925902</v>
      </c>
      <c r="S351" s="33">
        <v>22.946956018518499</v>
      </c>
      <c r="T351" s="33">
        <v>0</v>
      </c>
      <c r="U351" s="33">
        <v>1</v>
      </c>
      <c r="V351" s="33">
        <v>22.945752314814801</v>
      </c>
      <c r="W351" s="33">
        <v>56</v>
      </c>
      <c r="X351" s="33">
        <v>8</v>
      </c>
      <c r="Y351" s="33">
        <v>8</v>
      </c>
      <c r="Z351" s="33">
        <v>0</v>
      </c>
      <c r="AA351" s="33">
        <v>1</v>
      </c>
      <c r="AC351" s="29"/>
    </row>
    <row r="352" spans="1:29" x14ac:dyDescent="0.25">
      <c r="A352" s="27" t="s">
        <v>636</v>
      </c>
      <c r="B352" s="27" t="s">
        <v>14</v>
      </c>
      <c r="C352" s="27" t="s">
        <v>13</v>
      </c>
      <c r="D352" s="27" t="s">
        <v>154</v>
      </c>
      <c r="E352" s="27" t="s">
        <v>21</v>
      </c>
      <c r="F352" s="27" t="s">
        <v>506</v>
      </c>
      <c r="G352" s="27" t="s">
        <v>511</v>
      </c>
      <c r="H352" s="27" t="s">
        <v>513</v>
      </c>
      <c r="I352" s="27" t="s">
        <v>516</v>
      </c>
      <c r="J352" s="27" t="s">
        <v>516</v>
      </c>
      <c r="K352" s="27" t="s">
        <v>529</v>
      </c>
      <c r="L352" s="27" t="s">
        <v>539</v>
      </c>
      <c r="M352" s="30">
        <v>42619</v>
      </c>
      <c r="N352" s="30"/>
      <c r="O352" s="30"/>
      <c r="P352" s="27" t="s">
        <v>114</v>
      </c>
      <c r="Q352" s="32">
        <v>1</v>
      </c>
      <c r="R352" s="32">
        <v>17.048912037036999</v>
      </c>
      <c r="S352" s="32">
        <v>17.0491203703704</v>
      </c>
      <c r="T352" s="32">
        <v>0</v>
      </c>
      <c r="U352" s="32">
        <v>1</v>
      </c>
      <c r="V352" s="32">
        <v>17.048437499999999</v>
      </c>
      <c r="W352" s="32">
        <v>56</v>
      </c>
      <c r="X352" s="32">
        <v>13</v>
      </c>
      <c r="Y352" s="32">
        <v>13</v>
      </c>
      <c r="Z352" s="32">
        <v>0</v>
      </c>
      <c r="AA352" s="32">
        <v>1</v>
      </c>
      <c r="AC352" s="29"/>
    </row>
    <row r="353" spans="1:29" x14ac:dyDescent="0.25">
      <c r="A353" s="28" t="s">
        <v>637</v>
      </c>
      <c r="B353" s="28" t="s">
        <v>14</v>
      </c>
      <c r="C353" s="28" t="s">
        <v>13</v>
      </c>
      <c r="D353" s="28" t="s">
        <v>154</v>
      </c>
      <c r="E353" s="28" t="s">
        <v>21</v>
      </c>
      <c r="F353" s="28" t="s">
        <v>506</v>
      </c>
      <c r="G353" s="28" t="s">
        <v>511</v>
      </c>
      <c r="H353" s="28" t="s">
        <v>513</v>
      </c>
      <c r="I353" s="28" t="s">
        <v>516</v>
      </c>
      <c r="J353" s="28" t="s">
        <v>516</v>
      </c>
      <c r="K353" s="28" t="s">
        <v>529</v>
      </c>
      <c r="L353" s="28" t="s">
        <v>539</v>
      </c>
      <c r="M353" s="31">
        <v>42619</v>
      </c>
      <c r="N353" s="31"/>
      <c r="O353" s="31"/>
      <c r="P353" s="28" t="s">
        <v>105</v>
      </c>
      <c r="Q353" s="33">
        <v>1</v>
      </c>
      <c r="R353" s="33">
        <v>8.8016087962962999</v>
      </c>
      <c r="S353" s="33">
        <v>9.0261342592592602</v>
      </c>
      <c r="T353" s="33">
        <v>0</v>
      </c>
      <c r="U353" s="33">
        <v>1</v>
      </c>
      <c r="V353" s="33">
        <v>8.8009722222222209</v>
      </c>
      <c r="W353" s="33">
        <v>56</v>
      </c>
      <c r="X353" s="33">
        <v>11</v>
      </c>
      <c r="Y353" s="33">
        <v>11</v>
      </c>
      <c r="Z353" s="33">
        <v>0</v>
      </c>
      <c r="AA353" s="33">
        <v>1</v>
      </c>
      <c r="AC353" s="29"/>
    </row>
    <row r="354" spans="1:29" x14ac:dyDescent="0.25">
      <c r="A354" s="27" t="s">
        <v>638</v>
      </c>
      <c r="B354" s="27" t="s">
        <v>14</v>
      </c>
      <c r="C354" s="27" t="s">
        <v>13</v>
      </c>
      <c r="D354" s="27" t="s">
        <v>154</v>
      </c>
      <c r="E354" s="27" t="s">
        <v>21</v>
      </c>
      <c r="F354" s="27" t="s">
        <v>506</v>
      </c>
      <c r="G354" s="27" t="s">
        <v>511</v>
      </c>
      <c r="H354" s="27" t="s">
        <v>513</v>
      </c>
      <c r="I354" s="27" t="s">
        <v>516</v>
      </c>
      <c r="J354" s="27" t="s">
        <v>516</v>
      </c>
      <c r="K354" s="27" t="s">
        <v>529</v>
      </c>
      <c r="L354" s="27" t="s">
        <v>539</v>
      </c>
      <c r="M354" s="30">
        <v>42620</v>
      </c>
      <c r="N354" s="30"/>
      <c r="O354" s="30"/>
      <c r="P354" s="27" t="s">
        <v>105</v>
      </c>
      <c r="Q354" s="32">
        <v>1</v>
      </c>
      <c r="R354" s="32">
        <v>7.8456712962962998</v>
      </c>
      <c r="S354" s="32">
        <v>8.8510069444444408</v>
      </c>
      <c r="T354" s="32">
        <v>0</v>
      </c>
      <c r="U354" s="32">
        <v>1</v>
      </c>
      <c r="V354" s="32">
        <v>7.8453587962963001</v>
      </c>
      <c r="W354" s="32">
        <v>56</v>
      </c>
      <c r="X354" s="32">
        <v>1</v>
      </c>
      <c r="Y354" s="32">
        <v>1</v>
      </c>
      <c r="Z354" s="32">
        <v>0</v>
      </c>
      <c r="AA354" s="32">
        <v>1</v>
      </c>
      <c r="AC354" s="29"/>
    </row>
    <row r="355" spans="1:29" x14ac:dyDescent="0.25">
      <c r="A355" s="28" t="s">
        <v>639</v>
      </c>
      <c r="B355" s="28" t="s">
        <v>14</v>
      </c>
      <c r="C355" s="28" t="s">
        <v>13</v>
      </c>
      <c r="D355" s="28" t="s">
        <v>154</v>
      </c>
      <c r="E355" s="28" t="s">
        <v>21</v>
      </c>
      <c r="F355" s="28" t="s">
        <v>506</v>
      </c>
      <c r="G355" s="28" t="s">
        <v>511</v>
      </c>
      <c r="H355" s="28" t="s">
        <v>513</v>
      </c>
      <c r="I355" s="28" t="s">
        <v>516</v>
      </c>
      <c r="J355" s="28" t="s">
        <v>516</v>
      </c>
      <c r="K355" s="28" t="s">
        <v>529</v>
      </c>
      <c r="L355" s="28" t="s">
        <v>539</v>
      </c>
      <c r="M355" s="31">
        <v>42620</v>
      </c>
      <c r="N355" s="31"/>
      <c r="O355" s="31"/>
      <c r="P355" s="28" t="s">
        <v>105</v>
      </c>
      <c r="Q355" s="33">
        <v>1</v>
      </c>
      <c r="R355" s="33">
        <v>7.7728935185185204</v>
      </c>
      <c r="S355" s="33">
        <v>8.0026736111111099</v>
      </c>
      <c r="T355" s="33">
        <v>0</v>
      </c>
      <c r="U355" s="33">
        <v>1</v>
      </c>
      <c r="V355" s="33">
        <v>7.7724074074074103</v>
      </c>
      <c r="W355" s="33">
        <v>56</v>
      </c>
      <c r="X355" s="33">
        <v>11</v>
      </c>
      <c r="Y355" s="33">
        <v>11</v>
      </c>
      <c r="Z355" s="33">
        <v>0</v>
      </c>
      <c r="AA355" s="33">
        <v>1</v>
      </c>
      <c r="AC355" s="29"/>
    </row>
    <row r="356" spans="1:29" x14ac:dyDescent="0.25">
      <c r="A356" s="27" t="s">
        <v>642</v>
      </c>
      <c r="B356" s="27" t="s">
        <v>19</v>
      </c>
      <c r="C356" s="27" t="s">
        <v>15</v>
      </c>
      <c r="D356" s="27" t="s">
        <v>75</v>
      </c>
      <c r="E356" s="27" t="s">
        <v>28</v>
      </c>
      <c r="F356" s="27" t="s">
        <v>506</v>
      </c>
      <c r="G356" s="27" t="s">
        <v>511</v>
      </c>
      <c r="H356" s="27" t="s">
        <v>513</v>
      </c>
      <c r="I356" s="27" t="s">
        <v>517</v>
      </c>
      <c r="J356" s="27" t="s">
        <v>523</v>
      </c>
      <c r="K356" s="27" t="s">
        <v>529</v>
      </c>
      <c r="L356" s="27" t="s">
        <v>539</v>
      </c>
      <c r="M356" s="30">
        <v>42626</v>
      </c>
      <c r="N356" s="30">
        <v>42626</v>
      </c>
      <c r="O356" s="30">
        <v>42655</v>
      </c>
      <c r="P356" s="27" t="s">
        <v>115</v>
      </c>
      <c r="Q356" s="32">
        <v>1</v>
      </c>
      <c r="R356" s="32">
        <v>29.049537037036998</v>
      </c>
      <c r="S356" s="32">
        <v>29.049652777777801</v>
      </c>
      <c r="T356" s="32">
        <v>1</v>
      </c>
      <c r="U356" s="32">
        <v>1</v>
      </c>
      <c r="V356" s="32">
        <v>29.0491666666667</v>
      </c>
      <c r="W356" s="32">
        <v>120</v>
      </c>
      <c r="X356" s="32">
        <v>9</v>
      </c>
      <c r="Y356" s="32">
        <v>0</v>
      </c>
      <c r="Z356" s="32">
        <v>9</v>
      </c>
      <c r="AA356" s="32">
        <v>1</v>
      </c>
      <c r="AC356" s="29"/>
    </row>
    <row r="357" spans="1:29" x14ac:dyDescent="0.25">
      <c r="A357" s="28" t="s">
        <v>643</v>
      </c>
      <c r="B357" s="28" t="s">
        <v>14</v>
      </c>
      <c r="C357" s="28" t="s">
        <v>13</v>
      </c>
      <c r="D357" s="28" t="s">
        <v>154</v>
      </c>
      <c r="E357" s="28" t="s">
        <v>21</v>
      </c>
      <c r="F357" s="28" t="s">
        <v>506</v>
      </c>
      <c r="G357" s="28" t="s">
        <v>511</v>
      </c>
      <c r="H357" s="28" t="s">
        <v>513</v>
      </c>
      <c r="I357" s="28" t="s">
        <v>516</v>
      </c>
      <c r="J357" s="28" t="s">
        <v>516</v>
      </c>
      <c r="K357" s="28" t="s">
        <v>529</v>
      </c>
      <c r="L357" s="28" t="s">
        <v>539</v>
      </c>
      <c r="M357" s="31">
        <v>42626</v>
      </c>
      <c r="N357" s="31"/>
      <c r="O357" s="31"/>
      <c r="P357" s="28" t="s">
        <v>114</v>
      </c>
      <c r="Q357" s="33">
        <v>1</v>
      </c>
      <c r="R357" s="33">
        <v>10.1309722222222</v>
      </c>
      <c r="S357" s="33">
        <v>10.131226851851901</v>
      </c>
      <c r="T357" s="33">
        <v>0</v>
      </c>
      <c r="U357" s="33">
        <v>1</v>
      </c>
      <c r="V357" s="33">
        <v>10.1306828703704</v>
      </c>
      <c r="W357" s="33">
        <v>56</v>
      </c>
      <c r="X357" s="33">
        <v>12</v>
      </c>
      <c r="Y357" s="33">
        <v>12</v>
      </c>
      <c r="Z357" s="33">
        <v>0</v>
      </c>
      <c r="AA357" s="33">
        <v>1</v>
      </c>
      <c r="AC357" s="29"/>
    </row>
    <row r="358" spans="1:29" x14ac:dyDescent="0.25">
      <c r="A358" s="27" t="s">
        <v>644</v>
      </c>
      <c r="B358" s="27" t="s">
        <v>14</v>
      </c>
      <c r="C358" s="27" t="s">
        <v>13</v>
      </c>
      <c r="D358" s="27" t="s">
        <v>154</v>
      </c>
      <c r="E358" s="27" t="s">
        <v>21</v>
      </c>
      <c r="F358" s="27" t="s">
        <v>506</v>
      </c>
      <c r="G358" s="27" t="s">
        <v>511</v>
      </c>
      <c r="H358" s="27" t="s">
        <v>513</v>
      </c>
      <c r="I358" s="27" t="s">
        <v>516</v>
      </c>
      <c r="J358" s="27" t="s">
        <v>516</v>
      </c>
      <c r="K358" s="27" t="s">
        <v>529</v>
      </c>
      <c r="L358" s="27" t="s">
        <v>539</v>
      </c>
      <c r="M358" s="30">
        <v>42626</v>
      </c>
      <c r="N358" s="30"/>
      <c r="O358" s="30"/>
      <c r="P358" s="27" t="s">
        <v>115</v>
      </c>
      <c r="Q358" s="32">
        <v>1</v>
      </c>
      <c r="R358" s="32">
        <v>10.092476851851901</v>
      </c>
      <c r="S358" s="32">
        <v>10.092638888888899</v>
      </c>
      <c r="T358" s="32">
        <v>0</v>
      </c>
      <c r="U358" s="32">
        <v>1</v>
      </c>
      <c r="V358" s="32">
        <v>10.092106481481499</v>
      </c>
      <c r="W358" s="32">
        <v>56</v>
      </c>
      <c r="X358" s="32">
        <v>16</v>
      </c>
      <c r="Y358" s="32">
        <v>16</v>
      </c>
      <c r="Z358" s="32">
        <v>0</v>
      </c>
      <c r="AA358" s="32">
        <v>1</v>
      </c>
      <c r="AC358" s="29"/>
    </row>
    <row r="359" spans="1:29" x14ac:dyDescent="0.25">
      <c r="A359" s="28" t="s">
        <v>645</v>
      </c>
      <c r="B359" s="28" t="s">
        <v>14</v>
      </c>
      <c r="C359" s="28" t="s">
        <v>13</v>
      </c>
      <c r="D359" s="28" t="s">
        <v>154</v>
      </c>
      <c r="E359" s="28" t="s">
        <v>21</v>
      </c>
      <c r="F359" s="28" t="s">
        <v>506</v>
      </c>
      <c r="G359" s="28" t="s">
        <v>511</v>
      </c>
      <c r="H359" s="28" t="s">
        <v>513</v>
      </c>
      <c r="I359" s="28" t="s">
        <v>516</v>
      </c>
      <c r="J359" s="28" t="s">
        <v>516</v>
      </c>
      <c r="K359" s="28" t="s">
        <v>529</v>
      </c>
      <c r="L359" s="28" t="s">
        <v>539</v>
      </c>
      <c r="M359" s="31">
        <v>42626</v>
      </c>
      <c r="N359" s="31"/>
      <c r="O359" s="31"/>
      <c r="P359" s="28" t="s">
        <v>114</v>
      </c>
      <c r="Q359" s="33">
        <v>1</v>
      </c>
      <c r="R359" s="33">
        <v>10.102581018518499</v>
      </c>
      <c r="S359" s="33">
        <v>10.1029861111111</v>
      </c>
      <c r="T359" s="33">
        <v>0</v>
      </c>
      <c r="U359" s="33">
        <v>1</v>
      </c>
      <c r="V359" s="33">
        <v>10.1021990740741</v>
      </c>
      <c r="W359" s="33">
        <v>56</v>
      </c>
      <c r="X359" s="33">
        <v>15</v>
      </c>
      <c r="Y359" s="33">
        <v>15</v>
      </c>
      <c r="Z359" s="33">
        <v>0</v>
      </c>
      <c r="AA359" s="33">
        <v>1</v>
      </c>
      <c r="AC359" s="29"/>
    </row>
    <row r="360" spans="1:29" x14ac:dyDescent="0.25">
      <c r="A360" s="27" t="s">
        <v>646</v>
      </c>
      <c r="B360" s="27" t="s">
        <v>14</v>
      </c>
      <c r="C360" s="27" t="s">
        <v>15</v>
      </c>
      <c r="D360" s="27" t="s">
        <v>154</v>
      </c>
      <c r="E360" s="27" t="s">
        <v>21</v>
      </c>
      <c r="F360" s="27" t="s">
        <v>506</v>
      </c>
      <c r="G360" s="27" t="s">
        <v>511</v>
      </c>
      <c r="H360" s="27" t="s">
        <v>513</v>
      </c>
      <c r="I360" s="27" t="s">
        <v>516</v>
      </c>
      <c r="J360" s="27" t="s">
        <v>516</v>
      </c>
      <c r="K360" s="27" t="s">
        <v>529</v>
      </c>
      <c r="L360" s="27" t="s">
        <v>539</v>
      </c>
      <c r="M360" s="30">
        <v>42627</v>
      </c>
      <c r="N360" s="30"/>
      <c r="O360" s="30"/>
      <c r="P360" s="27" t="s">
        <v>110</v>
      </c>
      <c r="Q360" s="32">
        <v>1</v>
      </c>
      <c r="R360" s="32">
        <v>21.999317129629599</v>
      </c>
      <c r="S360" s="32">
        <v>21.9994444444444</v>
      </c>
      <c r="T360" s="32">
        <v>0</v>
      </c>
      <c r="U360" s="32">
        <v>1</v>
      </c>
      <c r="V360" s="32">
        <v>21.997337962963002</v>
      </c>
      <c r="W360" s="32">
        <v>140</v>
      </c>
      <c r="X360" s="32">
        <v>21</v>
      </c>
      <c r="Y360" s="32">
        <v>21</v>
      </c>
      <c r="Z360" s="32">
        <v>0</v>
      </c>
      <c r="AA360" s="32">
        <v>1</v>
      </c>
      <c r="AC360" s="29"/>
    </row>
    <row r="361" spans="1:29" x14ac:dyDescent="0.25">
      <c r="A361" s="28" t="s">
        <v>647</v>
      </c>
      <c r="B361" s="28" t="s">
        <v>14</v>
      </c>
      <c r="C361" s="28" t="s">
        <v>15</v>
      </c>
      <c r="D361" s="28" t="s">
        <v>154</v>
      </c>
      <c r="E361" s="28" t="s">
        <v>21</v>
      </c>
      <c r="F361" s="28" t="s">
        <v>506</v>
      </c>
      <c r="G361" s="28" t="s">
        <v>511</v>
      </c>
      <c r="H361" s="28" t="s">
        <v>513</v>
      </c>
      <c r="I361" s="28" t="s">
        <v>516</v>
      </c>
      <c r="J361" s="28" t="s">
        <v>516</v>
      </c>
      <c r="K361" s="28" t="s">
        <v>529</v>
      </c>
      <c r="L361" s="28" t="s">
        <v>539</v>
      </c>
      <c r="M361" s="31">
        <v>42628</v>
      </c>
      <c r="N361" s="31"/>
      <c r="O361" s="31"/>
      <c r="P361" s="28" t="s">
        <v>110</v>
      </c>
      <c r="Q361" s="33">
        <v>1</v>
      </c>
      <c r="R361" s="33">
        <v>20.9259837962963</v>
      </c>
      <c r="S361" s="33">
        <v>20.926192129629602</v>
      </c>
      <c r="T361" s="33">
        <v>0</v>
      </c>
      <c r="U361" s="33">
        <v>1</v>
      </c>
      <c r="V361" s="33">
        <v>20.925358796296301</v>
      </c>
      <c r="W361" s="33">
        <v>140</v>
      </c>
      <c r="X361" s="33">
        <v>15</v>
      </c>
      <c r="Y361" s="33">
        <v>15</v>
      </c>
      <c r="Z361" s="33">
        <v>0</v>
      </c>
      <c r="AA361" s="33">
        <v>1</v>
      </c>
      <c r="AC361" s="29"/>
    </row>
    <row r="362" spans="1:29" x14ac:dyDescent="0.25">
      <c r="A362" s="27" t="s">
        <v>648</v>
      </c>
      <c r="B362" s="27" t="s">
        <v>14</v>
      </c>
      <c r="C362" s="27" t="s">
        <v>15</v>
      </c>
      <c r="D362" s="27" t="s">
        <v>154</v>
      </c>
      <c r="E362" s="27" t="s">
        <v>21</v>
      </c>
      <c r="F362" s="27" t="s">
        <v>506</v>
      </c>
      <c r="G362" s="27" t="s">
        <v>511</v>
      </c>
      <c r="H362" s="27" t="s">
        <v>513</v>
      </c>
      <c r="I362" s="27" t="s">
        <v>516</v>
      </c>
      <c r="J362" s="27" t="s">
        <v>516</v>
      </c>
      <c r="K362" s="27" t="s">
        <v>529</v>
      </c>
      <c r="L362" s="27" t="s">
        <v>539</v>
      </c>
      <c r="M362" s="30">
        <v>42628</v>
      </c>
      <c r="N362" s="30"/>
      <c r="O362" s="30"/>
      <c r="P362" s="27" t="s">
        <v>110</v>
      </c>
      <c r="Q362" s="32">
        <v>1</v>
      </c>
      <c r="R362" s="32">
        <v>20.913993055555601</v>
      </c>
      <c r="S362" s="32">
        <v>20.9140972222222</v>
      </c>
      <c r="T362" s="32">
        <v>0</v>
      </c>
      <c r="U362" s="32">
        <v>1</v>
      </c>
      <c r="V362" s="32">
        <v>20.9137037037037</v>
      </c>
      <c r="W362" s="32">
        <v>140</v>
      </c>
      <c r="X362" s="32">
        <v>18</v>
      </c>
      <c r="Y362" s="32">
        <v>18</v>
      </c>
      <c r="Z362" s="32">
        <v>0</v>
      </c>
      <c r="AA362" s="32">
        <v>1</v>
      </c>
      <c r="AC362" s="29"/>
    </row>
    <row r="363" spans="1:29" x14ac:dyDescent="0.25">
      <c r="A363" s="28" t="s">
        <v>649</v>
      </c>
      <c r="B363" s="28" t="s">
        <v>14</v>
      </c>
      <c r="C363" s="28" t="s">
        <v>13</v>
      </c>
      <c r="D363" s="28" t="s">
        <v>154</v>
      </c>
      <c r="E363" s="28" t="s">
        <v>21</v>
      </c>
      <c r="F363" s="28" t="s">
        <v>505</v>
      </c>
      <c r="G363" s="28" t="s">
        <v>512</v>
      </c>
      <c r="H363" s="28" t="s">
        <v>513</v>
      </c>
      <c r="I363" s="28" t="s">
        <v>516</v>
      </c>
      <c r="J363" s="28" t="s">
        <v>516</v>
      </c>
      <c r="K363" s="28" t="s">
        <v>529</v>
      </c>
      <c r="L363" s="28" t="s">
        <v>539</v>
      </c>
      <c r="M363" s="31">
        <v>42629</v>
      </c>
      <c r="N363" s="31"/>
      <c r="O363" s="31"/>
      <c r="P363" s="28" t="s">
        <v>102</v>
      </c>
      <c r="Q363" s="33">
        <v>1</v>
      </c>
      <c r="R363" s="33">
        <v>12.140150462963</v>
      </c>
      <c r="S363" s="33">
        <v>12.1409375</v>
      </c>
      <c r="T363" s="33">
        <v>0</v>
      </c>
      <c r="U363" s="33">
        <v>1</v>
      </c>
      <c r="V363" s="33">
        <v>12.139548611111101</v>
      </c>
      <c r="W363" s="33">
        <v>56</v>
      </c>
      <c r="X363" s="33">
        <v>9</v>
      </c>
      <c r="Y363" s="33">
        <v>9</v>
      </c>
      <c r="Z363" s="33">
        <v>0</v>
      </c>
      <c r="AA363" s="33">
        <v>1</v>
      </c>
      <c r="AC363" s="29"/>
    </row>
    <row r="364" spans="1:29" x14ac:dyDescent="0.25">
      <c r="A364" s="27" t="s">
        <v>650</v>
      </c>
      <c r="B364" s="27" t="s">
        <v>18</v>
      </c>
      <c r="C364" s="27" t="s">
        <v>13</v>
      </c>
      <c r="D364" s="27" t="s">
        <v>154</v>
      </c>
      <c r="E364" s="27" t="s">
        <v>21</v>
      </c>
      <c r="F364" s="27" t="s">
        <v>506</v>
      </c>
      <c r="G364" s="27" t="s">
        <v>511</v>
      </c>
      <c r="H364" s="27" t="s">
        <v>513</v>
      </c>
      <c r="I364" s="27" t="s">
        <v>516</v>
      </c>
      <c r="J364" s="27" t="s">
        <v>516</v>
      </c>
      <c r="K364" s="27" t="s">
        <v>529</v>
      </c>
      <c r="L364" s="27" t="s">
        <v>539</v>
      </c>
      <c r="M364" s="30">
        <v>42634</v>
      </c>
      <c r="N364" s="30"/>
      <c r="O364" s="30"/>
      <c r="P364" s="27" t="s">
        <v>114</v>
      </c>
      <c r="Q364" s="32">
        <v>1</v>
      </c>
      <c r="R364" s="32">
        <v>7.9847453703703701</v>
      </c>
      <c r="S364" s="32">
        <v>8.9716782407407401</v>
      </c>
      <c r="T364" s="32">
        <v>0</v>
      </c>
      <c r="U364" s="32">
        <v>1</v>
      </c>
      <c r="V364" s="32">
        <v>7.9844560185185198</v>
      </c>
      <c r="W364" s="32">
        <v>56</v>
      </c>
      <c r="X364" s="32">
        <v>8</v>
      </c>
      <c r="Y364" s="32">
        <v>8</v>
      </c>
      <c r="Z364" s="32">
        <v>0</v>
      </c>
      <c r="AA364" s="32">
        <v>1</v>
      </c>
      <c r="AC364" s="29"/>
    </row>
    <row r="365" spans="1:29" x14ac:dyDescent="0.25">
      <c r="A365" s="28" t="s">
        <v>651</v>
      </c>
      <c r="B365" s="28" t="s">
        <v>14</v>
      </c>
      <c r="C365" s="28" t="s">
        <v>17</v>
      </c>
      <c r="D365" s="28" t="s">
        <v>154</v>
      </c>
      <c r="E365" s="28" t="s">
        <v>21</v>
      </c>
      <c r="F365" s="28" t="s">
        <v>506</v>
      </c>
      <c r="G365" s="28" t="s">
        <v>511</v>
      </c>
      <c r="H365" s="28" t="s">
        <v>513</v>
      </c>
      <c r="I365" s="28" t="s">
        <v>517</v>
      </c>
      <c r="J365" s="28" t="s">
        <v>519</v>
      </c>
      <c r="K365" s="28" t="s">
        <v>529</v>
      </c>
      <c r="L365" s="28" t="s">
        <v>539</v>
      </c>
      <c r="M365" s="31">
        <v>42635</v>
      </c>
      <c r="N365" s="31">
        <v>42635</v>
      </c>
      <c r="O365" s="31">
        <v>42635</v>
      </c>
      <c r="P365" s="28" t="s">
        <v>102</v>
      </c>
      <c r="Q365" s="33">
        <v>1</v>
      </c>
      <c r="R365" s="33">
        <v>8.8773148148148205E-3</v>
      </c>
      <c r="S365" s="33">
        <v>0.161655092592593</v>
      </c>
      <c r="T365" s="33">
        <v>1</v>
      </c>
      <c r="U365" s="33">
        <v>1</v>
      </c>
      <c r="V365" s="33">
        <v>7.4537037037037002E-3</v>
      </c>
      <c r="W365" s="33">
        <v>3</v>
      </c>
      <c r="X365" s="33">
        <v>9</v>
      </c>
      <c r="Y365" s="33">
        <v>9</v>
      </c>
      <c r="Z365" s="33">
        <v>0</v>
      </c>
      <c r="AA365" s="33">
        <v>1</v>
      </c>
      <c r="AC365" s="29"/>
    </row>
    <row r="366" spans="1:29" x14ac:dyDescent="0.25">
      <c r="A366" s="27" t="s">
        <v>652</v>
      </c>
      <c r="B366" s="27" t="s">
        <v>14</v>
      </c>
      <c r="C366" s="27" t="s">
        <v>13</v>
      </c>
      <c r="D366" s="27" t="s">
        <v>154</v>
      </c>
      <c r="E366" s="27" t="s">
        <v>21</v>
      </c>
      <c r="F366" s="27" t="s">
        <v>506</v>
      </c>
      <c r="G366" s="27" t="s">
        <v>511</v>
      </c>
      <c r="H366" s="27" t="s">
        <v>513</v>
      </c>
      <c r="I366" s="27" t="s">
        <v>516</v>
      </c>
      <c r="J366" s="27" t="s">
        <v>516</v>
      </c>
      <c r="K366" s="27" t="s">
        <v>529</v>
      </c>
      <c r="L366" s="27" t="s">
        <v>539</v>
      </c>
      <c r="M366" s="30">
        <v>42635</v>
      </c>
      <c r="N366" s="30"/>
      <c r="O366" s="30"/>
      <c r="P366" s="27" t="s">
        <v>104</v>
      </c>
      <c r="Q366" s="32">
        <v>1</v>
      </c>
      <c r="R366" s="32">
        <v>1.3915856481481499</v>
      </c>
      <c r="S366" s="32">
        <v>1.3917708333333301</v>
      </c>
      <c r="T366" s="32">
        <v>0</v>
      </c>
      <c r="U366" s="32">
        <v>1</v>
      </c>
      <c r="V366" s="32">
        <v>1.39055555555556</v>
      </c>
      <c r="W366" s="32">
        <v>56</v>
      </c>
      <c r="X366" s="32">
        <v>4.5</v>
      </c>
      <c r="Y366" s="32">
        <v>4.5</v>
      </c>
      <c r="Z366" s="32">
        <v>0</v>
      </c>
      <c r="AA366" s="32">
        <v>1</v>
      </c>
      <c r="AC366" s="29"/>
    </row>
    <row r="367" spans="1:29" x14ac:dyDescent="0.25">
      <c r="A367" s="28" t="s">
        <v>653</v>
      </c>
      <c r="B367" s="28" t="s">
        <v>14</v>
      </c>
      <c r="C367" s="28" t="s">
        <v>13</v>
      </c>
      <c r="D367" s="28" t="s">
        <v>154</v>
      </c>
      <c r="E367" s="28" t="s">
        <v>21</v>
      </c>
      <c r="F367" s="28" t="s">
        <v>506</v>
      </c>
      <c r="G367" s="28" t="s">
        <v>511</v>
      </c>
      <c r="H367" s="28" t="s">
        <v>513</v>
      </c>
      <c r="I367" s="28" t="s">
        <v>516</v>
      </c>
      <c r="J367" s="28" t="s">
        <v>516</v>
      </c>
      <c r="K367" s="28" t="s">
        <v>529</v>
      </c>
      <c r="L367" s="28" t="s">
        <v>539</v>
      </c>
      <c r="M367" s="31">
        <v>42635</v>
      </c>
      <c r="N367" s="31"/>
      <c r="O367" s="31"/>
      <c r="P367" s="28" t="s">
        <v>102</v>
      </c>
      <c r="Q367" s="33">
        <v>1</v>
      </c>
      <c r="R367" s="33">
        <v>9.7483449074074109</v>
      </c>
      <c r="S367" s="33">
        <v>9.7485069444444399</v>
      </c>
      <c r="T367" s="33">
        <v>0</v>
      </c>
      <c r="U367" s="33">
        <v>1</v>
      </c>
      <c r="V367" s="33">
        <v>7.1076273148148204</v>
      </c>
      <c r="W367" s="33">
        <v>56</v>
      </c>
      <c r="X367" s="33">
        <v>9</v>
      </c>
      <c r="Y367" s="33">
        <v>9</v>
      </c>
      <c r="Z367" s="33">
        <v>0</v>
      </c>
      <c r="AA367" s="33">
        <v>1</v>
      </c>
      <c r="AC367" s="29"/>
    </row>
    <row r="368" spans="1:29" x14ac:dyDescent="0.25">
      <c r="A368" s="27" t="s">
        <v>654</v>
      </c>
      <c r="B368" s="27" t="s">
        <v>14</v>
      </c>
      <c r="C368" s="27" t="s">
        <v>13</v>
      </c>
      <c r="D368" s="27" t="s">
        <v>154</v>
      </c>
      <c r="E368" s="27" t="s">
        <v>21</v>
      </c>
      <c r="F368" s="27" t="s">
        <v>506</v>
      </c>
      <c r="G368" s="27" t="s">
        <v>511</v>
      </c>
      <c r="H368" s="27" t="s">
        <v>513</v>
      </c>
      <c r="I368" s="27" t="s">
        <v>516</v>
      </c>
      <c r="J368" s="27" t="s">
        <v>516</v>
      </c>
      <c r="K368" s="27" t="s">
        <v>529</v>
      </c>
      <c r="L368" s="27" t="s">
        <v>539</v>
      </c>
      <c r="M368" s="30">
        <v>42635</v>
      </c>
      <c r="N368" s="30"/>
      <c r="O368" s="30"/>
      <c r="P368" s="27" t="s">
        <v>110</v>
      </c>
      <c r="Q368" s="32">
        <v>1</v>
      </c>
      <c r="R368" s="32">
        <v>35.942916666666697</v>
      </c>
      <c r="S368" s="32">
        <v>35.946122685185202</v>
      </c>
      <c r="T368" s="32">
        <v>0</v>
      </c>
      <c r="U368" s="32">
        <v>1</v>
      </c>
      <c r="V368" s="32">
        <v>35.942349537037003</v>
      </c>
      <c r="W368" s="32">
        <v>56</v>
      </c>
      <c r="X368" s="32">
        <v>20</v>
      </c>
      <c r="Y368" s="32">
        <v>20</v>
      </c>
      <c r="Z368" s="32">
        <v>0</v>
      </c>
      <c r="AA368" s="32">
        <v>1</v>
      </c>
      <c r="AC368" s="29"/>
    </row>
    <row r="369" spans="1:29" x14ac:dyDescent="0.25">
      <c r="A369" s="28" t="s">
        <v>655</v>
      </c>
      <c r="B369" s="28" t="s">
        <v>14</v>
      </c>
      <c r="C369" s="28" t="s">
        <v>13</v>
      </c>
      <c r="D369" s="28" t="s">
        <v>154</v>
      </c>
      <c r="E369" s="28" t="s">
        <v>21</v>
      </c>
      <c r="F369" s="28" t="s">
        <v>506</v>
      </c>
      <c r="G369" s="28" t="s">
        <v>511</v>
      </c>
      <c r="H369" s="28" t="s">
        <v>513</v>
      </c>
      <c r="I369" s="28" t="s">
        <v>516</v>
      </c>
      <c r="J369" s="28" t="s">
        <v>516</v>
      </c>
      <c r="K369" s="28" t="s">
        <v>529</v>
      </c>
      <c r="L369" s="28" t="s">
        <v>539</v>
      </c>
      <c r="M369" s="31">
        <v>42635</v>
      </c>
      <c r="N369" s="31"/>
      <c r="O369" s="31"/>
      <c r="P369" s="28" t="s">
        <v>114</v>
      </c>
      <c r="Q369" s="33">
        <v>1</v>
      </c>
      <c r="R369" s="33">
        <v>20.088611111111099</v>
      </c>
      <c r="S369" s="33">
        <v>21.172592592592601</v>
      </c>
      <c r="T369" s="33">
        <v>0</v>
      </c>
      <c r="U369" s="33">
        <v>1</v>
      </c>
      <c r="V369" s="33">
        <v>20.087534722222198</v>
      </c>
      <c r="W369" s="33">
        <v>56</v>
      </c>
      <c r="X369" s="33">
        <v>13</v>
      </c>
      <c r="Y369" s="33">
        <v>13</v>
      </c>
      <c r="Z369" s="33">
        <v>0</v>
      </c>
      <c r="AA369" s="33">
        <v>1</v>
      </c>
      <c r="AC369" s="29"/>
    </row>
    <row r="370" spans="1:29" x14ac:dyDescent="0.25">
      <c r="A370" s="27" t="s">
        <v>656</v>
      </c>
      <c r="B370" s="27" t="s">
        <v>14</v>
      </c>
      <c r="C370" s="27" t="s">
        <v>13</v>
      </c>
      <c r="D370" s="27" t="s">
        <v>154</v>
      </c>
      <c r="E370" s="27" t="s">
        <v>21</v>
      </c>
      <c r="F370" s="27" t="s">
        <v>506</v>
      </c>
      <c r="G370" s="27" t="s">
        <v>511</v>
      </c>
      <c r="H370" s="27" t="s">
        <v>513</v>
      </c>
      <c r="I370" s="27" t="s">
        <v>516</v>
      </c>
      <c r="J370" s="27" t="s">
        <v>516</v>
      </c>
      <c r="K370" s="27" t="s">
        <v>529</v>
      </c>
      <c r="L370" s="27" t="s">
        <v>539</v>
      </c>
      <c r="M370" s="30">
        <v>42635</v>
      </c>
      <c r="N370" s="30"/>
      <c r="O370" s="30"/>
      <c r="P370" s="27" t="s">
        <v>114</v>
      </c>
      <c r="Q370" s="32">
        <v>1</v>
      </c>
      <c r="R370" s="32">
        <v>20.0734259259259</v>
      </c>
      <c r="S370" s="32">
        <v>21.1647685185185</v>
      </c>
      <c r="T370" s="32">
        <v>0</v>
      </c>
      <c r="U370" s="32">
        <v>1</v>
      </c>
      <c r="V370" s="32">
        <v>20.072650462963001</v>
      </c>
      <c r="W370" s="32">
        <v>56</v>
      </c>
      <c r="X370" s="32">
        <v>13.5</v>
      </c>
      <c r="Y370" s="32">
        <v>13.5</v>
      </c>
      <c r="Z370" s="32">
        <v>0</v>
      </c>
      <c r="AA370" s="32">
        <v>1</v>
      </c>
      <c r="AC370" s="29"/>
    </row>
    <row r="371" spans="1:29" x14ac:dyDescent="0.25">
      <c r="A371" s="28" t="s">
        <v>657</v>
      </c>
      <c r="B371" s="28" t="s">
        <v>14</v>
      </c>
      <c r="C371" s="28" t="s">
        <v>13</v>
      </c>
      <c r="D371" s="28" t="s">
        <v>154</v>
      </c>
      <c r="E371" s="28" t="s">
        <v>21</v>
      </c>
      <c r="F371" s="28" t="s">
        <v>506</v>
      </c>
      <c r="G371" s="28" t="s">
        <v>511</v>
      </c>
      <c r="H371" s="28" t="s">
        <v>513</v>
      </c>
      <c r="I371" s="28" t="s">
        <v>517</v>
      </c>
      <c r="J371" s="28" t="s">
        <v>523</v>
      </c>
      <c r="K371" s="28" t="s">
        <v>529</v>
      </c>
      <c r="L371" s="28" t="s">
        <v>539</v>
      </c>
      <c r="M371" s="31">
        <v>42636</v>
      </c>
      <c r="N371" s="31">
        <v>42636</v>
      </c>
      <c r="O371" s="31">
        <v>42640</v>
      </c>
      <c r="P371" s="28" t="s">
        <v>112</v>
      </c>
      <c r="Q371" s="33">
        <v>1</v>
      </c>
      <c r="R371" s="33">
        <v>5.0126388888888904</v>
      </c>
      <c r="S371" s="33">
        <v>5.0130555555555603</v>
      </c>
      <c r="T371" s="33">
        <v>1</v>
      </c>
      <c r="U371" s="33">
        <v>1</v>
      </c>
      <c r="V371" s="33">
        <v>5.0118518518518496</v>
      </c>
      <c r="W371" s="33">
        <v>56</v>
      </c>
      <c r="X371" s="33">
        <v>7</v>
      </c>
      <c r="Y371" s="33">
        <v>7</v>
      </c>
      <c r="Z371" s="33">
        <v>0</v>
      </c>
      <c r="AA371" s="33">
        <v>1</v>
      </c>
      <c r="AC371" s="29"/>
    </row>
    <row r="372" spans="1:29" x14ac:dyDescent="0.25">
      <c r="A372" s="27" t="s">
        <v>658</v>
      </c>
      <c r="B372" s="27" t="s">
        <v>14</v>
      </c>
      <c r="C372" s="27" t="s">
        <v>13</v>
      </c>
      <c r="D372" s="27" t="s">
        <v>154</v>
      </c>
      <c r="E372" s="27" t="s">
        <v>21</v>
      </c>
      <c r="F372" s="27" t="s">
        <v>505</v>
      </c>
      <c r="G372" s="27" t="s">
        <v>512</v>
      </c>
      <c r="H372" s="27" t="s">
        <v>513</v>
      </c>
      <c r="I372" s="27" t="s">
        <v>517</v>
      </c>
      <c r="J372" s="27" t="s">
        <v>522</v>
      </c>
      <c r="K372" s="27" t="s">
        <v>529</v>
      </c>
      <c r="L372" s="27" t="s">
        <v>539</v>
      </c>
      <c r="M372" s="30">
        <v>42636</v>
      </c>
      <c r="N372" s="30">
        <v>42636</v>
      </c>
      <c r="O372" s="30">
        <v>42642</v>
      </c>
      <c r="P372" s="27" t="s">
        <v>115</v>
      </c>
      <c r="Q372" s="32">
        <v>1</v>
      </c>
      <c r="R372" s="32">
        <v>7.0423726851851898</v>
      </c>
      <c r="S372" s="32">
        <v>11.7835763888889</v>
      </c>
      <c r="T372" s="32">
        <v>1</v>
      </c>
      <c r="U372" s="32">
        <v>1</v>
      </c>
      <c r="V372" s="32">
        <v>7.0415625000000004</v>
      </c>
      <c r="W372" s="32">
        <v>56</v>
      </c>
      <c r="X372" s="32">
        <v>13</v>
      </c>
      <c r="Y372" s="32">
        <v>5</v>
      </c>
      <c r="Z372" s="32">
        <v>8</v>
      </c>
      <c r="AA372" s="32">
        <v>1</v>
      </c>
      <c r="AC372" s="29"/>
    </row>
    <row r="373" spans="1:29" x14ac:dyDescent="0.25">
      <c r="A373" s="28" t="s">
        <v>659</v>
      </c>
      <c r="B373" s="28" t="s">
        <v>14</v>
      </c>
      <c r="C373" s="28" t="s">
        <v>13</v>
      </c>
      <c r="D373" s="28" t="s">
        <v>154</v>
      </c>
      <c r="E373" s="28" t="s">
        <v>21</v>
      </c>
      <c r="F373" s="28" t="s">
        <v>506</v>
      </c>
      <c r="G373" s="28" t="s">
        <v>511</v>
      </c>
      <c r="H373" s="28" t="s">
        <v>513</v>
      </c>
      <c r="I373" s="28" t="s">
        <v>516</v>
      </c>
      <c r="J373" s="28" t="s">
        <v>516</v>
      </c>
      <c r="K373" s="28" t="s">
        <v>529</v>
      </c>
      <c r="L373" s="28" t="s">
        <v>539</v>
      </c>
      <c r="M373" s="31">
        <v>42639</v>
      </c>
      <c r="N373" s="31"/>
      <c r="O373" s="31"/>
      <c r="P373" s="28" t="s">
        <v>114</v>
      </c>
      <c r="Q373" s="33">
        <v>1</v>
      </c>
      <c r="R373" s="33">
        <v>8.0267592592592596</v>
      </c>
      <c r="S373" s="33">
        <v>8.0270023148148208</v>
      </c>
      <c r="T373" s="33">
        <v>0</v>
      </c>
      <c r="U373" s="33">
        <v>1</v>
      </c>
      <c r="V373" s="33">
        <v>8.0258449074074107</v>
      </c>
      <c r="W373" s="33">
        <v>56</v>
      </c>
      <c r="X373" s="33">
        <v>9</v>
      </c>
      <c r="Y373" s="33">
        <v>9</v>
      </c>
      <c r="Z373" s="33">
        <v>0</v>
      </c>
      <c r="AA373" s="33">
        <v>1</v>
      </c>
      <c r="AC373" s="29"/>
    </row>
    <row r="374" spans="1:29" x14ac:dyDescent="0.25">
      <c r="A374" s="27" t="s">
        <v>660</v>
      </c>
      <c r="B374" s="27" t="s">
        <v>14</v>
      </c>
      <c r="C374" s="27" t="s">
        <v>13</v>
      </c>
      <c r="D374" s="27" t="s">
        <v>154</v>
      </c>
      <c r="E374" s="27" t="s">
        <v>21</v>
      </c>
      <c r="F374" s="27" t="s">
        <v>506</v>
      </c>
      <c r="G374" s="27" t="s">
        <v>511</v>
      </c>
      <c r="H374" s="27" t="s">
        <v>513</v>
      </c>
      <c r="I374" s="27" t="s">
        <v>516</v>
      </c>
      <c r="J374" s="27" t="s">
        <v>516</v>
      </c>
      <c r="K374" s="27" t="s">
        <v>529</v>
      </c>
      <c r="L374" s="27" t="s">
        <v>539</v>
      </c>
      <c r="M374" s="30">
        <v>42646</v>
      </c>
      <c r="N374" s="30"/>
      <c r="O374" s="30"/>
      <c r="P374" s="27" t="s">
        <v>99</v>
      </c>
      <c r="Q374" s="32">
        <v>1</v>
      </c>
      <c r="R374" s="32">
        <v>10.0709259259259</v>
      </c>
      <c r="S374" s="32">
        <v>10.071087962963</v>
      </c>
      <c r="T374" s="32">
        <v>0</v>
      </c>
      <c r="U374" s="32">
        <v>1</v>
      </c>
      <c r="V374" s="32">
        <v>10.070381944444399</v>
      </c>
      <c r="W374" s="32">
        <v>56</v>
      </c>
      <c r="X374" s="32">
        <v>6</v>
      </c>
      <c r="Y374" s="32">
        <v>6</v>
      </c>
      <c r="Z374" s="32">
        <v>0</v>
      </c>
      <c r="AA374" s="32">
        <v>1</v>
      </c>
      <c r="AC374" s="29"/>
    </row>
    <row r="375" spans="1:29" x14ac:dyDescent="0.25">
      <c r="A375" s="28" t="s">
        <v>661</v>
      </c>
      <c r="B375" s="28" t="s">
        <v>14</v>
      </c>
      <c r="C375" s="28" t="s">
        <v>13</v>
      </c>
      <c r="D375" s="28" t="s">
        <v>154</v>
      </c>
      <c r="E375" s="28" t="s">
        <v>21</v>
      </c>
      <c r="F375" s="28" t="s">
        <v>506</v>
      </c>
      <c r="G375" s="28" t="s">
        <v>511</v>
      </c>
      <c r="H375" s="28" t="s">
        <v>513</v>
      </c>
      <c r="I375" s="28" t="s">
        <v>516</v>
      </c>
      <c r="J375" s="28" t="s">
        <v>516</v>
      </c>
      <c r="K375" s="28" t="s">
        <v>529</v>
      </c>
      <c r="L375" s="28" t="s">
        <v>539</v>
      </c>
      <c r="M375" s="31">
        <v>42647</v>
      </c>
      <c r="N375" s="31"/>
      <c r="O375" s="31"/>
      <c r="P375" s="28" t="s">
        <v>114</v>
      </c>
      <c r="Q375" s="33">
        <v>1</v>
      </c>
      <c r="R375" s="33">
        <v>6.0173958333333299</v>
      </c>
      <c r="S375" s="33">
        <v>6.0175462962962998</v>
      </c>
      <c r="T375" s="33">
        <v>0</v>
      </c>
      <c r="U375" s="33">
        <v>1</v>
      </c>
      <c r="V375" s="33">
        <v>6.0168287037037</v>
      </c>
      <c r="W375" s="33">
        <v>56</v>
      </c>
      <c r="X375" s="33">
        <v>7.5</v>
      </c>
      <c r="Y375" s="33">
        <v>7.5</v>
      </c>
      <c r="Z375" s="33">
        <v>0</v>
      </c>
      <c r="AA375" s="33">
        <v>1</v>
      </c>
      <c r="AC375" s="29"/>
    </row>
    <row r="376" spans="1:29" x14ac:dyDescent="0.25">
      <c r="A376" s="27" t="s">
        <v>662</v>
      </c>
      <c r="B376" s="27" t="s">
        <v>14</v>
      </c>
      <c r="C376" s="27" t="s">
        <v>15</v>
      </c>
      <c r="D376" s="27" t="s">
        <v>154</v>
      </c>
      <c r="E376" s="27" t="s">
        <v>21</v>
      </c>
      <c r="F376" s="27" t="s">
        <v>506</v>
      </c>
      <c r="G376" s="27" t="s">
        <v>511</v>
      </c>
      <c r="H376" s="27" t="s">
        <v>513</v>
      </c>
      <c r="I376" s="27" t="s">
        <v>516</v>
      </c>
      <c r="J376" s="27" t="s">
        <v>516</v>
      </c>
      <c r="K376" s="27" t="s">
        <v>529</v>
      </c>
      <c r="L376" s="27" t="s">
        <v>539</v>
      </c>
      <c r="M376" s="30">
        <v>42649</v>
      </c>
      <c r="N376" s="30"/>
      <c r="O376" s="30"/>
      <c r="P376" s="27" t="s">
        <v>110</v>
      </c>
      <c r="Q376" s="32">
        <v>1</v>
      </c>
      <c r="R376" s="32">
        <v>7.72378472222222</v>
      </c>
      <c r="S376" s="32">
        <v>7.7239120370370404</v>
      </c>
      <c r="T376" s="32">
        <v>0</v>
      </c>
      <c r="U376" s="32">
        <v>1</v>
      </c>
      <c r="V376" s="32">
        <v>7.7234837962962999</v>
      </c>
      <c r="W376" s="32">
        <v>140</v>
      </c>
      <c r="X376" s="32">
        <v>15</v>
      </c>
      <c r="Y376" s="32">
        <v>15</v>
      </c>
      <c r="Z376" s="32">
        <v>0</v>
      </c>
      <c r="AA376" s="32">
        <v>1</v>
      </c>
      <c r="AC376" s="29"/>
    </row>
    <row r="377" spans="1:29" x14ac:dyDescent="0.25">
      <c r="A377" s="28" t="s">
        <v>663</v>
      </c>
      <c r="B377" s="28" t="s">
        <v>14</v>
      </c>
      <c r="C377" s="28" t="s">
        <v>15</v>
      </c>
      <c r="D377" s="28" t="s">
        <v>154</v>
      </c>
      <c r="E377" s="28" t="s">
        <v>21</v>
      </c>
      <c r="F377" s="28" t="s">
        <v>506</v>
      </c>
      <c r="G377" s="28" t="s">
        <v>511</v>
      </c>
      <c r="H377" s="28" t="s">
        <v>513</v>
      </c>
      <c r="I377" s="28" t="s">
        <v>516</v>
      </c>
      <c r="J377" s="28" t="s">
        <v>516</v>
      </c>
      <c r="K377" s="28" t="s">
        <v>529</v>
      </c>
      <c r="L377" s="28" t="s">
        <v>539</v>
      </c>
      <c r="M377" s="31">
        <v>42649</v>
      </c>
      <c r="N377" s="31"/>
      <c r="O377" s="31"/>
      <c r="P377" s="28" t="s">
        <v>110</v>
      </c>
      <c r="Q377" s="33">
        <v>1</v>
      </c>
      <c r="R377" s="33">
        <v>7.6523726851851803</v>
      </c>
      <c r="S377" s="33">
        <v>7.6537499999999996</v>
      </c>
      <c r="T377" s="33">
        <v>0</v>
      </c>
      <c r="U377" s="33">
        <v>1</v>
      </c>
      <c r="V377" s="33">
        <v>7.6520486111111099</v>
      </c>
      <c r="W377" s="33">
        <v>140</v>
      </c>
      <c r="X377" s="33">
        <v>16</v>
      </c>
      <c r="Y377" s="33">
        <v>16</v>
      </c>
      <c r="Z377" s="33">
        <v>0</v>
      </c>
      <c r="AA377" s="33">
        <v>1</v>
      </c>
      <c r="AC377" s="29"/>
    </row>
    <row r="378" spans="1:29" x14ac:dyDescent="0.25">
      <c r="A378" s="27" t="s">
        <v>664</v>
      </c>
      <c r="B378" s="27" t="s">
        <v>14</v>
      </c>
      <c r="C378" s="27" t="s">
        <v>15</v>
      </c>
      <c r="D378" s="27" t="s">
        <v>154</v>
      </c>
      <c r="E378" s="27" t="s">
        <v>21</v>
      </c>
      <c r="F378" s="27" t="s">
        <v>506</v>
      </c>
      <c r="G378" s="27" t="s">
        <v>511</v>
      </c>
      <c r="H378" s="27" t="s">
        <v>513</v>
      </c>
      <c r="I378" s="27" t="s">
        <v>516</v>
      </c>
      <c r="J378" s="27" t="s">
        <v>516</v>
      </c>
      <c r="K378" s="27" t="s">
        <v>529</v>
      </c>
      <c r="L378" s="27" t="s">
        <v>539</v>
      </c>
      <c r="M378" s="30">
        <v>42649</v>
      </c>
      <c r="N378" s="30"/>
      <c r="O378" s="30"/>
      <c r="P378" s="27" t="s">
        <v>102</v>
      </c>
      <c r="Q378" s="32">
        <v>1</v>
      </c>
      <c r="R378" s="32">
        <v>7.6453240740740798</v>
      </c>
      <c r="S378" s="32">
        <v>7.6454861111111097</v>
      </c>
      <c r="T378" s="32">
        <v>0</v>
      </c>
      <c r="U378" s="32">
        <v>1</v>
      </c>
      <c r="V378" s="32">
        <v>7.6449537037036999</v>
      </c>
      <c r="W378" s="32">
        <v>140</v>
      </c>
      <c r="X378" s="32">
        <v>15</v>
      </c>
      <c r="Y378" s="32">
        <v>15</v>
      </c>
      <c r="Z378" s="32">
        <v>0</v>
      </c>
      <c r="AA378" s="32">
        <v>1</v>
      </c>
      <c r="AC378" s="29"/>
    </row>
    <row r="379" spans="1:29" x14ac:dyDescent="0.25">
      <c r="A379" s="28" t="s">
        <v>665</v>
      </c>
      <c r="B379" s="28" t="s">
        <v>14</v>
      </c>
      <c r="C379" s="28" t="s">
        <v>13</v>
      </c>
      <c r="D379" s="28" t="s">
        <v>154</v>
      </c>
      <c r="E379" s="28" t="s">
        <v>21</v>
      </c>
      <c r="F379" s="28" t="s">
        <v>506</v>
      </c>
      <c r="G379" s="28" t="s">
        <v>511</v>
      </c>
      <c r="H379" s="28" t="s">
        <v>513</v>
      </c>
      <c r="I379" s="28" t="s">
        <v>516</v>
      </c>
      <c r="J379" s="28" t="s">
        <v>516</v>
      </c>
      <c r="K379" s="28" t="s">
        <v>529</v>
      </c>
      <c r="L379" s="28" t="s">
        <v>539</v>
      </c>
      <c r="M379" s="31">
        <v>42649</v>
      </c>
      <c r="N379" s="31"/>
      <c r="O379" s="31"/>
      <c r="P379" s="28" t="s">
        <v>114</v>
      </c>
      <c r="Q379" s="33">
        <v>1</v>
      </c>
      <c r="R379" s="33">
        <v>1.48490740740741</v>
      </c>
      <c r="S379" s="33">
        <v>1.4851504629629599</v>
      </c>
      <c r="T379" s="33">
        <v>0</v>
      </c>
      <c r="U379" s="33">
        <v>1</v>
      </c>
      <c r="V379" s="33">
        <v>1.48409722222222</v>
      </c>
      <c r="W379" s="33">
        <v>56</v>
      </c>
      <c r="X379" s="33">
        <v>8</v>
      </c>
      <c r="Y379" s="33">
        <v>8</v>
      </c>
      <c r="Z379" s="33">
        <v>0</v>
      </c>
      <c r="AA379" s="33">
        <v>1</v>
      </c>
      <c r="AC379" s="29"/>
    </row>
    <row r="380" spans="1:29" x14ac:dyDescent="0.25">
      <c r="A380" s="27" t="s">
        <v>666</v>
      </c>
      <c r="B380" s="27" t="s">
        <v>14</v>
      </c>
      <c r="C380" s="27" t="s">
        <v>16</v>
      </c>
      <c r="D380" s="27" t="s">
        <v>154</v>
      </c>
      <c r="E380" s="27" t="s">
        <v>21</v>
      </c>
      <c r="F380" s="27" t="s">
        <v>506</v>
      </c>
      <c r="G380" s="27" t="s">
        <v>511</v>
      </c>
      <c r="H380" s="27" t="s">
        <v>513</v>
      </c>
      <c r="I380" s="27" t="s">
        <v>516</v>
      </c>
      <c r="J380" s="27" t="s">
        <v>516</v>
      </c>
      <c r="K380" s="27" t="s">
        <v>529</v>
      </c>
      <c r="L380" s="27" t="s">
        <v>539</v>
      </c>
      <c r="M380" s="30">
        <v>42649</v>
      </c>
      <c r="N380" s="30"/>
      <c r="O380" s="30"/>
      <c r="P380" s="27" t="s">
        <v>98</v>
      </c>
      <c r="Q380" s="32">
        <v>1</v>
      </c>
      <c r="R380" s="32">
        <v>6.4428819444444398</v>
      </c>
      <c r="S380" s="32">
        <v>11.4311689814815</v>
      </c>
      <c r="T380" s="32">
        <v>0</v>
      </c>
      <c r="U380" s="32">
        <v>1</v>
      </c>
      <c r="V380" s="32">
        <v>6.44226851851852</v>
      </c>
      <c r="W380" s="32">
        <v>28</v>
      </c>
      <c r="X380" s="32">
        <v>10.5</v>
      </c>
      <c r="Y380" s="32">
        <v>10.5</v>
      </c>
      <c r="Z380" s="32">
        <v>0</v>
      </c>
      <c r="AA380" s="32">
        <v>1</v>
      </c>
      <c r="AC380" s="29"/>
    </row>
    <row r="381" spans="1:29" x14ac:dyDescent="0.25">
      <c r="A381" s="28" t="s">
        <v>667</v>
      </c>
      <c r="B381" s="28" t="s">
        <v>14</v>
      </c>
      <c r="C381" s="28" t="s">
        <v>16</v>
      </c>
      <c r="D381" s="28" t="s">
        <v>154</v>
      </c>
      <c r="E381" s="28" t="s">
        <v>21</v>
      </c>
      <c r="F381" s="28" t="s">
        <v>505</v>
      </c>
      <c r="G381" s="28" t="s">
        <v>512</v>
      </c>
      <c r="H381" s="28" t="s">
        <v>513</v>
      </c>
      <c r="I381" s="28" t="s">
        <v>516</v>
      </c>
      <c r="J381" s="28" t="s">
        <v>516</v>
      </c>
      <c r="K381" s="28" t="s">
        <v>529</v>
      </c>
      <c r="L381" s="28" t="s">
        <v>539</v>
      </c>
      <c r="M381" s="31">
        <v>42649</v>
      </c>
      <c r="N381" s="31"/>
      <c r="O381" s="31"/>
      <c r="P381" s="28" t="s">
        <v>102</v>
      </c>
      <c r="Q381" s="33">
        <v>1</v>
      </c>
      <c r="R381" s="33">
        <v>0.178993055555556</v>
      </c>
      <c r="S381" s="33">
        <v>0.182534722222222</v>
      </c>
      <c r="T381" s="33">
        <v>0</v>
      </c>
      <c r="U381" s="33">
        <v>1</v>
      </c>
      <c r="V381" s="33">
        <v>0.17800925925925901</v>
      </c>
      <c r="W381" s="33">
        <v>28</v>
      </c>
      <c r="X381" s="33">
        <v>4</v>
      </c>
      <c r="Y381" s="33">
        <v>4</v>
      </c>
      <c r="Z381" s="33">
        <v>0</v>
      </c>
      <c r="AA381" s="33">
        <v>1</v>
      </c>
      <c r="AC381" s="29"/>
    </row>
    <row r="382" spans="1:29" x14ac:dyDescent="0.25">
      <c r="A382" s="27" t="s">
        <v>668</v>
      </c>
      <c r="B382" s="27" t="s">
        <v>14</v>
      </c>
      <c r="C382" s="27" t="s">
        <v>13</v>
      </c>
      <c r="D382" s="27" t="s">
        <v>154</v>
      </c>
      <c r="E382" s="27" t="s">
        <v>21</v>
      </c>
      <c r="F382" s="27" t="s">
        <v>505</v>
      </c>
      <c r="G382" s="27" t="s">
        <v>512</v>
      </c>
      <c r="H382" s="27" t="s">
        <v>513</v>
      </c>
      <c r="I382" s="27" t="s">
        <v>516</v>
      </c>
      <c r="J382" s="27" t="s">
        <v>516</v>
      </c>
      <c r="K382" s="27" t="s">
        <v>529</v>
      </c>
      <c r="L382" s="27" t="s">
        <v>539</v>
      </c>
      <c r="M382" s="30">
        <v>42649</v>
      </c>
      <c r="N382" s="30"/>
      <c r="O382" s="30"/>
      <c r="P382" s="27" t="s">
        <v>110</v>
      </c>
      <c r="Q382" s="32">
        <v>1</v>
      </c>
      <c r="R382" s="32">
        <v>18.056365740740699</v>
      </c>
      <c r="S382" s="32">
        <v>18.056678240740698</v>
      </c>
      <c r="T382" s="32">
        <v>0</v>
      </c>
      <c r="U382" s="32">
        <v>1</v>
      </c>
      <c r="V382" s="32">
        <v>18.055902777777799</v>
      </c>
      <c r="W382" s="32">
        <v>56</v>
      </c>
      <c r="X382" s="32">
        <v>0</v>
      </c>
      <c r="Y382" s="32">
        <v>0</v>
      </c>
      <c r="Z382" s="32">
        <v>0</v>
      </c>
      <c r="AA382" s="32">
        <v>1</v>
      </c>
      <c r="AC382" s="29"/>
    </row>
    <row r="383" spans="1:29" x14ac:dyDescent="0.25">
      <c r="A383" s="28" t="s">
        <v>669</v>
      </c>
      <c r="B383" s="28" t="s">
        <v>14</v>
      </c>
      <c r="C383" s="28" t="s">
        <v>13</v>
      </c>
      <c r="D383" s="28" t="s">
        <v>154</v>
      </c>
      <c r="E383" s="28" t="s">
        <v>21</v>
      </c>
      <c r="F383" s="28" t="s">
        <v>506</v>
      </c>
      <c r="G383" s="28" t="s">
        <v>511</v>
      </c>
      <c r="H383" s="28" t="s">
        <v>513</v>
      </c>
      <c r="I383" s="28" t="s">
        <v>516</v>
      </c>
      <c r="J383" s="28" t="s">
        <v>516</v>
      </c>
      <c r="K383" s="28" t="s">
        <v>529</v>
      </c>
      <c r="L383" s="28" t="s">
        <v>539</v>
      </c>
      <c r="M383" s="31">
        <v>42653</v>
      </c>
      <c r="N383" s="31"/>
      <c r="O383" s="31"/>
      <c r="P383" s="28" t="s">
        <v>114</v>
      </c>
      <c r="Q383" s="33">
        <v>1</v>
      </c>
      <c r="R383" s="33">
        <v>6.8976967592592597</v>
      </c>
      <c r="S383" s="33">
        <v>6.8978703703703701</v>
      </c>
      <c r="T383" s="33">
        <v>0</v>
      </c>
      <c r="U383" s="33">
        <v>1</v>
      </c>
      <c r="V383" s="33">
        <v>6.8968171296296301</v>
      </c>
      <c r="W383" s="33">
        <v>56</v>
      </c>
      <c r="X383" s="33">
        <v>13</v>
      </c>
      <c r="Y383" s="33">
        <v>13</v>
      </c>
      <c r="Z383" s="33">
        <v>0</v>
      </c>
      <c r="AA383" s="33">
        <v>1</v>
      </c>
      <c r="AC383" s="29"/>
    </row>
    <row r="384" spans="1:29" x14ac:dyDescent="0.25">
      <c r="A384" s="27" t="s">
        <v>670</v>
      </c>
      <c r="B384" s="27" t="s">
        <v>14</v>
      </c>
      <c r="C384" s="27" t="s">
        <v>15</v>
      </c>
      <c r="D384" s="27" t="s">
        <v>154</v>
      </c>
      <c r="E384" s="27" t="s">
        <v>21</v>
      </c>
      <c r="F384" s="27" t="s">
        <v>506</v>
      </c>
      <c r="G384" s="27" t="s">
        <v>511</v>
      </c>
      <c r="H384" s="27" t="s">
        <v>513</v>
      </c>
      <c r="I384" s="27" t="s">
        <v>516</v>
      </c>
      <c r="J384" s="27" t="s">
        <v>516</v>
      </c>
      <c r="K384" s="27" t="s">
        <v>529</v>
      </c>
      <c r="L384" s="27" t="s">
        <v>541</v>
      </c>
      <c r="M384" s="30">
        <v>42656</v>
      </c>
      <c r="N384" s="30"/>
      <c r="O384" s="30"/>
      <c r="P384" s="27" t="s">
        <v>516</v>
      </c>
      <c r="Q384" s="32">
        <v>1</v>
      </c>
      <c r="R384" s="32">
        <v>59.389629629629603</v>
      </c>
      <c r="S384" s="32">
        <v>59.389629629629603</v>
      </c>
      <c r="T384" s="32">
        <v>0</v>
      </c>
      <c r="U384" s="32">
        <v>0</v>
      </c>
      <c r="V384" s="32">
        <v>0</v>
      </c>
      <c r="W384" s="32">
        <v>140</v>
      </c>
      <c r="X384" s="32">
        <v>4</v>
      </c>
      <c r="Y384" s="32">
        <v>4</v>
      </c>
      <c r="Z384" s="32">
        <v>0</v>
      </c>
      <c r="AA384" s="32">
        <v>0</v>
      </c>
      <c r="AC384" s="29"/>
    </row>
    <row r="385" spans="1:29" x14ac:dyDescent="0.25">
      <c r="A385" s="28" t="s">
        <v>671</v>
      </c>
      <c r="B385" s="28" t="s">
        <v>14</v>
      </c>
      <c r="C385" s="28" t="s">
        <v>15</v>
      </c>
      <c r="D385" s="28" t="s">
        <v>154</v>
      </c>
      <c r="E385" s="28" t="s">
        <v>21</v>
      </c>
      <c r="F385" s="28" t="s">
        <v>506</v>
      </c>
      <c r="G385" s="28" t="s">
        <v>511</v>
      </c>
      <c r="H385" s="28" t="s">
        <v>513</v>
      </c>
      <c r="I385" s="28" t="s">
        <v>516</v>
      </c>
      <c r="J385" s="28" t="s">
        <v>516</v>
      </c>
      <c r="K385" s="28" t="s">
        <v>529</v>
      </c>
      <c r="L385" s="28" t="s">
        <v>541</v>
      </c>
      <c r="M385" s="31">
        <v>42656</v>
      </c>
      <c r="N385" s="31"/>
      <c r="O385" s="31"/>
      <c r="P385" s="28" t="s">
        <v>516</v>
      </c>
      <c r="Q385" s="33">
        <v>1</v>
      </c>
      <c r="R385" s="33">
        <v>59.215775462963002</v>
      </c>
      <c r="S385" s="33">
        <v>59.215775462963002</v>
      </c>
      <c r="T385" s="33">
        <v>0</v>
      </c>
      <c r="U385" s="33">
        <v>0</v>
      </c>
      <c r="V385" s="33">
        <v>0</v>
      </c>
      <c r="W385" s="33">
        <v>140</v>
      </c>
      <c r="X385" s="33">
        <v>6</v>
      </c>
      <c r="Y385" s="33">
        <v>6</v>
      </c>
      <c r="Z385" s="33">
        <v>0</v>
      </c>
      <c r="AA385" s="33">
        <v>0</v>
      </c>
      <c r="AC385" s="29"/>
    </row>
    <row r="386" spans="1:29" x14ac:dyDescent="0.25">
      <c r="A386" s="27" t="s">
        <v>672</v>
      </c>
      <c r="B386" s="27" t="s">
        <v>14</v>
      </c>
      <c r="C386" s="27" t="s">
        <v>15</v>
      </c>
      <c r="D386" s="27" t="s">
        <v>154</v>
      </c>
      <c r="E386" s="27" t="s">
        <v>21</v>
      </c>
      <c r="F386" s="27" t="s">
        <v>506</v>
      </c>
      <c r="G386" s="27" t="s">
        <v>511</v>
      </c>
      <c r="H386" s="27" t="s">
        <v>513</v>
      </c>
      <c r="I386" s="27" t="s">
        <v>516</v>
      </c>
      <c r="J386" s="27" t="s">
        <v>516</v>
      </c>
      <c r="K386" s="27" t="s">
        <v>529</v>
      </c>
      <c r="L386" s="27" t="s">
        <v>541</v>
      </c>
      <c r="M386" s="30">
        <v>42656</v>
      </c>
      <c r="N386" s="30"/>
      <c r="O386" s="30"/>
      <c r="P386" s="27" t="s">
        <v>516</v>
      </c>
      <c r="Q386" s="32">
        <v>1</v>
      </c>
      <c r="R386" s="32">
        <v>59.166863425925897</v>
      </c>
      <c r="S386" s="32">
        <v>59.166863425925897</v>
      </c>
      <c r="T386" s="32">
        <v>0</v>
      </c>
      <c r="U386" s="32">
        <v>0</v>
      </c>
      <c r="V386" s="32">
        <v>0</v>
      </c>
      <c r="W386" s="32">
        <v>140</v>
      </c>
      <c r="X386" s="32">
        <v>7</v>
      </c>
      <c r="Y386" s="32">
        <v>7</v>
      </c>
      <c r="Z386" s="32">
        <v>0</v>
      </c>
      <c r="AA386" s="32">
        <v>0</v>
      </c>
      <c r="AC386" s="29"/>
    </row>
    <row r="387" spans="1:29" x14ac:dyDescent="0.25">
      <c r="A387" s="28" t="s">
        <v>673</v>
      </c>
      <c r="B387" s="28" t="s">
        <v>19</v>
      </c>
      <c r="C387" s="28" t="s">
        <v>13</v>
      </c>
      <c r="D387" s="28" t="s">
        <v>154</v>
      </c>
      <c r="E387" s="28" t="s">
        <v>21</v>
      </c>
      <c r="F387" s="28" t="s">
        <v>505</v>
      </c>
      <c r="G387" s="28" t="s">
        <v>679</v>
      </c>
      <c r="H387" s="28" t="s">
        <v>513</v>
      </c>
      <c r="I387" s="28" t="s">
        <v>517</v>
      </c>
      <c r="J387" s="28" t="s">
        <v>520</v>
      </c>
      <c r="K387" s="28" t="s">
        <v>704</v>
      </c>
      <c r="L387" s="28" t="s">
        <v>539</v>
      </c>
      <c r="M387" s="31">
        <v>42660</v>
      </c>
      <c r="N387" s="31">
        <v>42660</v>
      </c>
      <c r="O387" s="31">
        <v>42674</v>
      </c>
      <c r="P387" s="28" t="s">
        <v>98</v>
      </c>
      <c r="Q387" s="33">
        <v>1</v>
      </c>
      <c r="R387" s="33">
        <v>18.104710648148099</v>
      </c>
      <c r="S387" s="33">
        <v>31.1548263888889</v>
      </c>
      <c r="T387" s="33">
        <v>1</v>
      </c>
      <c r="U387" s="33">
        <v>1</v>
      </c>
      <c r="V387" s="33">
        <v>18.102534722222199</v>
      </c>
      <c r="W387" s="33">
        <v>56</v>
      </c>
      <c r="X387" s="33">
        <v>25</v>
      </c>
      <c r="Y387" s="33">
        <v>1</v>
      </c>
      <c r="Z387" s="33">
        <v>24</v>
      </c>
      <c r="AA387" s="33">
        <v>1</v>
      </c>
      <c r="AC387" s="29"/>
    </row>
    <row r="388" spans="1:29" x14ac:dyDescent="0.25">
      <c r="A388" s="27" t="s">
        <v>674</v>
      </c>
      <c r="B388" s="27" t="s">
        <v>14</v>
      </c>
      <c r="C388" s="27" t="s">
        <v>13</v>
      </c>
      <c r="D388" s="27" t="s">
        <v>154</v>
      </c>
      <c r="E388" s="27" t="s">
        <v>21</v>
      </c>
      <c r="F388" s="27" t="s">
        <v>505</v>
      </c>
      <c r="G388" s="27" t="s">
        <v>512</v>
      </c>
      <c r="H388" s="27" t="s">
        <v>513</v>
      </c>
      <c r="I388" s="27" t="s">
        <v>516</v>
      </c>
      <c r="J388" s="27" t="s">
        <v>516</v>
      </c>
      <c r="K388" s="27" t="s">
        <v>529</v>
      </c>
      <c r="L388" s="27" t="s">
        <v>539</v>
      </c>
      <c r="M388" s="30">
        <v>42660</v>
      </c>
      <c r="N388" s="30"/>
      <c r="O388" s="30"/>
      <c r="P388" s="27" t="s">
        <v>102</v>
      </c>
      <c r="Q388" s="32">
        <v>1</v>
      </c>
      <c r="R388" s="32">
        <v>1.7877662037037001</v>
      </c>
      <c r="S388" s="32">
        <v>1.78799768518519</v>
      </c>
      <c r="T388" s="32">
        <v>0</v>
      </c>
      <c r="U388" s="32">
        <v>1</v>
      </c>
      <c r="V388" s="32">
        <v>1.7867129629629599</v>
      </c>
      <c r="W388" s="32">
        <v>56</v>
      </c>
      <c r="X388" s="32">
        <v>9.5</v>
      </c>
      <c r="Y388" s="32">
        <v>9.5</v>
      </c>
      <c r="Z388" s="32">
        <v>0</v>
      </c>
      <c r="AA388" s="32">
        <v>1</v>
      </c>
      <c r="AC388" s="29"/>
    </row>
    <row r="389" spans="1:29" x14ac:dyDescent="0.25">
      <c r="A389" s="28" t="s">
        <v>675</v>
      </c>
      <c r="B389" s="28" t="s">
        <v>14</v>
      </c>
      <c r="C389" s="28" t="s">
        <v>13</v>
      </c>
      <c r="D389" s="28" t="s">
        <v>154</v>
      </c>
      <c r="E389" s="28" t="s">
        <v>21</v>
      </c>
      <c r="F389" s="28" t="s">
        <v>505</v>
      </c>
      <c r="G389" s="28" t="s">
        <v>512</v>
      </c>
      <c r="H389" s="28" t="s">
        <v>513</v>
      </c>
      <c r="I389" s="28" t="s">
        <v>516</v>
      </c>
      <c r="J389" s="28" t="s">
        <v>516</v>
      </c>
      <c r="K389" s="28" t="s">
        <v>529</v>
      </c>
      <c r="L389" s="28" t="s">
        <v>539</v>
      </c>
      <c r="M389" s="31">
        <v>42660</v>
      </c>
      <c r="N389" s="31"/>
      <c r="O389" s="31"/>
      <c r="P389" s="28" t="s">
        <v>114</v>
      </c>
      <c r="Q389" s="33">
        <v>1</v>
      </c>
      <c r="R389" s="33">
        <v>30.756319444444401</v>
      </c>
      <c r="S389" s="33">
        <v>30.756516203703701</v>
      </c>
      <c r="T389" s="33">
        <v>0</v>
      </c>
      <c r="U389" s="33">
        <v>1</v>
      </c>
      <c r="V389" s="33">
        <v>30.071076388888901</v>
      </c>
      <c r="W389" s="33">
        <v>56</v>
      </c>
      <c r="X389" s="33">
        <v>11</v>
      </c>
      <c r="Y389" s="33">
        <v>11</v>
      </c>
      <c r="Z389" s="33">
        <v>0</v>
      </c>
      <c r="AA389" s="33">
        <v>1</v>
      </c>
      <c r="AC389" s="29"/>
    </row>
    <row r="390" spans="1:29" x14ac:dyDescent="0.25">
      <c r="A390" s="27" t="s">
        <v>676</v>
      </c>
      <c r="B390" s="27" t="s">
        <v>14</v>
      </c>
      <c r="C390" s="27" t="s">
        <v>13</v>
      </c>
      <c r="D390" s="27" t="s">
        <v>154</v>
      </c>
      <c r="E390" s="27" t="s">
        <v>21</v>
      </c>
      <c r="F390" s="27" t="s">
        <v>505</v>
      </c>
      <c r="G390" s="27" t="s">
        <v>512</v>
      </c>
      <c r="H390" s="27" t="s">
        <v>513</v>
      </c>
      <c r="I390" s="27" t="s">
        <v>516</v>
      </c>
      <c r="J390" s="27" t="s">
        <v>516</v>
      </c>
      <c r="K390" s="27" t="s">
        <v>529</v>
      </c>
      <c r="L390" s="27" t="s">
        <v>539</v>
      </c>
      <c r="M390" s="30">
        <v>42660</v>
      </c>
      <c r="N390" s="30"/>
      <c r="O390" s="30"/>
      <c r="P390" s="27" t="s">
        <v>114</v>
      </c>
      <c r="Q390" s="32">
        <v>1</v>
      </c>
      <c r="R390" s="32">
        <v>30.075532407407401</v>
      </c>
      <c r="S390" s="32">
        <v>30.0761921296296</v>
      </c>
      <c r="T390" s="32">
        <v>0</v>
      </c>
      <c r="U390" s="32">
        <v>1</v>
      </c>
      <c r="V390" s="32">
        <v>30.063495370370401</v>
      </c>
      <c r="W390" s="32">
        <v>56</v>
      </c>
      <c r="X390" s="32">
        <v>14.5</v>
      </c>
      <c r="Y390" s="32">
        <v>14.5</v>
      </c>
      <c r="Z390" s="32">
        <v>0</v>
      </c>
      <c r="AA390" s="32">
        <v>1</v>
      </c>
      <c r="AC390" s="29"/>
    </row>
    <row r="391" spans="1:29" x14ac:dyDescent="0.25">
      <c r="A391" s="28" t="s">
        <v>677</v>
      </c>
      <c r="B391" s="28" t="s">
        <v>14</v>
      </c>
      <c r="C391" s="28" t="s">
        <v>13</v>
      </c>
      <c r="D391" s="28" t="s">
        <v>154</v>
      </c>
      <c r="E391" s="28" t="s">
        <v>21</v>
      </c>
      <c r="F391" s="28" t="s">
        <v>506</v>
      </c>
      <c r="G391" s="28" t="s">
        <v>511</v>
      </c>
      <c r="H391" s="28" t="s">
        <v>513</v>
      </c>
      <c r="I391" s="28" t="s">
        <v>516</v>
      </c>
      <c r="J391" s="28" t="s">
        <v>516</v>
      </c>
      <c r="K391" s="28" t="s">
        <v>529</v>
      </c>
      <c r="L391" s="28" t="s">
        <v>539</v>
      </c>
      <c r="M391" s="31">
        <v>42662</v>
      </c>
      <c r="N391" s="31"/>
      <c r="O391" s="31"/>
      <c r="P391" s="28" t="s">
        <v>99</v>
      </c>
      <c r="Q391" s="33">
        <v>1</v>
      </c>
      <c r="R391" s="33">
        <v>2.18538194444444</v>
      </c>
      <c r="S391" s="33">
        <v>5.0187152777777797</v>
      </c>
      <c r="T391" s="33">
        <v>0</v>
      </c>
      <c r="U391" s="33">
        <v>1</v>
      </c>
      <c r="V391" s="33">
        <v>2.1850347222222202</v>
      </c>
      <c r="W391" s="33">
        <v>56</v>
      </c>
      <c r="X391" s="33">
        <v>11</v>
      </c>
      <c r="Y391" s="33">
        <v>11</v>
      </c>
      <c r="Z391" s="33">
        <v>0</v>
      </c>
      <c r="AA391" s="33">
        <v>1</v>
      </c>
      <c r="AC391" s="29"/>
    </row>
    <row r="392" spans="1:29" x14ac:dyDescent="0.25">
      <c r="A392" s="27" t="s">
        <v>678</v>
      </c>
      <c r="B392" s="27" t="s">
        <v>14</v>
      </c>
      <c r="C392" s="27" t="s">
        <v>13</v>
      </c>
      <c r="D392" s="27" t="s">
        <v>154</v>
      </c>
      <c r="E392" s="27" t="s">
        <v>21</v>
      </c>
      <c r="F392" s="27" t="s">
        <v>506</v>
      </c>
      <c r="G392" s="27" t="s">
        <v>511</v>
      </c>
      <c r="H392" s="27" t="s">
        <v>513</v>
      </c>
      <c r="I392" s="27" t="s">
        <v>516</v>
      </c>
      <c r="J392" s="27" t="s">
        <v>516</v>
      </c>
      <c r="K392" s="27" t="s">
        <v>529</v>
      </c>
      <c r="L392" s="27" t="s">
        <v>539</v>
      </c>
      <c r="M392" s="30">
        <v>42664</v>
      </c>
      <c r="N392" s="30"/>
      <c r="O392" s="30"/>
      <c r="P392" s="27" t="s">
        <v>105</v>
      </c>
      <c r="Q392" s="32">
        <v>1</v>
      </c>
      <c r="R392" s="32">
        <v>0.268668981481481</v>
      </c>
      <c r="S392" s="32">
        <v>0.46869212962963003</v>
      </c>
      <c r="T392" s="32">
        <v>0</v>
      </c>
      <c r="U392" s="32">
        <v>1</v>
      </c>
      <c r="V392" s="32">
        <v>0.26804398148148201</v>
      </c>
      <c r="W392" s="32">
        <v>56</v>
      </c>
      <c r="X392" s="32">
        <v>5</v>
      </c>
      <c r="Y392" s="32">
        <v>5</v>
      </c>
      <c r="Z392" s="32">
        <v>0</v>
      </c>
      <c r="AA392" s="32">
        <v>1</v>
      </c>
      <c r="AC392" s="29"/>
    </row>
    <row r="393" spans="1:29" x14ac:dyDescent="0.25">
      <c r="A393" s="28" t="s">
        <v>681</v>
      </c>
      <c r="B393" s="28" t="s">
        <v>19</v>
      </c>
      <c r="C393" s="28" t="s">
        <v>15</v>
      </c>
      <c r="D393" s="28" t="s">
        <v>689</v>
      </c>
      <c r="E393" s="28" t="s">
        <v>29</v>
      </c>
      <c r="F393" s="28" t="s">
        <v>506</v>
      </c>
      <c r="G393" s="28" t="s">
        <v>511</v>
      </c>
      <c r="H393" s="28" t="s">
        <v>513</v>
      </c>
      <c r="I393" s="28" t="s">
        <v>517</v>
      </c>
      <c r="J393" s="28" t="s">
        <v>523</v>
      </c>
      <c r="K393" s="28" t="s">
        <v>529</v>
      </c>
      <c r="L393" s="28" t="s">
        <v>539</v>
      </c>
      <c r="M393" s="31">
        <v>42667</v>
      </c>
      <c r="N393" s="31">
        <v>42668</v>
      </c>
      <c r="O393" s="31">
        <v>42682</v>
      </c>
      <c r="P393" s="28" t="s">
        <v>105</v>
      </c>
      <c r="Q393" s="33">
        <v>1</v>
      </c>
      <c r="R393" s="33">
        <v>44.035069444444403</v>
      </c>
      <c r="S393" s="33">
        <v>44.035243055555597</v>
      </c>
      <c r="T393" s="33">
        <v>1</v>
      </c>
      <c r="U393" s="33">
        <v>1</v>
      </c>
      <c r="V393" s="33">
        <v>44.0348032407407</v>
      </c>
      <c r="W393" s="33">
        <v>50</v>
      </c>
      <c r="X393" s="33">
        <v>8</v>
      </c>
      <c r="Y393" s="33">
        <v>0</v>
      </c>
      <c r="Z393" s="33">
        <v>8</v>
      </c>
      <c r="AA393" s="33">
        <v>1</v>
      </c>
      <c r="AC393" s="29"/>
    </row>
    <row r="394" spans="1:29" x14ac:dyDescent="0.25">
      <c r="A394" s="27" t="s">
        <v>682</v>
      </c>
      <c r="B394" s="27" t="s">
        <v>14</v>
      </c>
      <c r="C394" s="27" t="s">
        <v>13</v>
      </c>
      <c r="D394" s="27" t="s">
        <v>154</v>
      </c>
      <c r="E394" s="27" t="s">
        <v>21</v>
      </c>
      <c r="F394" s="27" t="s">
        <v>506</v>
      </c>
      <c r="G394" s="27" t="s">
        <v>511</v>
      </c>
      <c r="H394" s="27" t="s">
        <v>513</v>
      </c>
      <c r="I394" s="27" t="s">
        <v>516</v>
      </c>
      <c r="J394" s="27" t="s">
        <v>516</v>
      </c>
      <c r="K394" s="27" t="s">
        <v>529</v>
      </c>
      <c r="L394" s="27" t="s">
        <v>539</v>
      </c>
      <c r="M394" s="30">
        <v>42667</v>
      </c>
      <c r="N394" s="30"/>
      <c r="O394" s="30"/>
      <c r="P394" s="27" t="s">
        <v>104</v>
      </c>
      <c r="Q394" s="32">
        <v>1</v>
      </c>
      <c r="R394" s="32">
        <v>24.988599537037</v>
      </c>
      <c r="S394" s="32">
        <v>24.988784722222199</v>
      </c>
      <c r="T394" s="32">
        <v>0</v>
      </c>
      <c r="U394" s="32">
        <v>1</v>
      </c>
      <c r="V394" s="32">
        <v>24.988113425925899</v>
      </c>
      <c r="W394" s="32">
        <v>56</v>
      </c>
      <c r="X394" s="32">
        <v>21</v>
      </c>
      <c r="Y394" s="32">
        <v>21</v>
      </c>
      <c r="Z394" s="32">
        <v>0</v>
      </c>
      <c r="AA394" s="32">
        <v>1</v>
      </c>
      <c r="AC394" s="29"/>
    </row>
    <row r="395" spans="1:29" x14ac:dyDescent="0.25">
      <c r="A395" s="28" t="s">
        <v>683</v>
      </c>
      <c r="B395" s="28" t="s">
        <v>14</v>
      </c>
      <c r="C395" s="28" t="s">
        <v>13</v>
      </c>
      <c r="D395" s="28" t="s">
        <v>154</v>
      </c>
      <c r="E395" s="28" t="s">
        <v>21</v>
      </c>
      <c r="F395" s="28" t="s">
        <v>506</v>
      </c>
      <c r="G395" s="28" t="s">
        <v>511</v>
      </c>
      <c r="H395" s="28" t="s">
        <v>513</v>
      </c>
      <c r="I395" s="28" t="s">
        <v>517</v>
      </c>
      <c r="J395" s="28" t="s">
        <v>522</v>
      </c>
      <c r="K395" s="28" t="s">
        <v>705</v>
      </c>
      <c r="L395" s="28" t="s">
        <v>539</v>
      </c>
      <c r="M395" s="31">
        <v>42667</v>
      </c>
      <c r="N395" s="31">
        <v>42667</v>
      </c>
      <c r="O395" s="31">
        <v>42675</v>
      </c>
      <c r="P395" s="28" t="s">
        <v>115</v>
      </c>
      <c r="Q395" s="33">
        <v>1</v>
      </c>
      <c r="R395" s="33">
        <v>7.9107870370370401</v>
      </c>
      <c r="S395" s="33">
        <v>7.9110995370370398</v>
      </c>
      <c r="T395" s="33">
        <v>1</v>
      </c>
      <c r="U395" s="33">
        <v>1</v>
      </c>
      <c r="V395" s="33">
        <v>7.9100347222222203</v>
      </c>
      <c r="W395" s="33">
        <v>56</v>
      </c>
      <c r="X395" s="33">
        <v>12</v>
      </c>
      <c r="Y395" s="33">
        <v>4</v>
      </c>
      <c r="Z395" s="33">
        <v>8</v>
      </c>
      <c r="AA395" s="33">
        <v>1</v>
      </c>
      <c r="AC395" s="29"/>
    </row>
    <row r="396" spans="1:29" x14ac:dyDescent="0.25">
      <c r="A396" s="27" t="s">
        <v>684</v>
      </c>
      <c r="B396" s="27" t="s">
        <v>498</v>
      </c>
      <c r="C396" s="27" t="s">
        <v>13</v>
      </c>
      <c r="D396" s="27" t="s">
        <v>154</v>
      </c>
      <c r="E396" s="27" t="s">
        <v>21</v>
      </c>
      <c r="F396" s="27" t="s">
        <v>506</v>
      </c>
      <c r="G396" s="27" t="s">
        <v>511</v>
      </c>
      <c r="H396" s="27" t="s">
        <v>513</v>
      </c>
      <c r="I396" s="27" t="s">
        <v>516</v>
      </c>
      <c r="J396" s="27" t="s">
        <v>516</v>
      </c>
      <c r="K396" s="27" t="s">
        <v>529</v>
      </c>
      <c r="L396" s="27" t="s">
        <v>539</v>
      </c>
      <c r="M396" s="30">
        <v>42667</v>
      </c>
      <c r="N396" s="30"/>
      <c r="O396" s="30"/>
      <c r="P396" s="27" t="s">
        <v>114</v>
      </c>
      <c r="Q396" s="32">
        <v>1</v>
      </c>
      <c r="R396" s="32">
        <v>24.800717592592601</v>
      </c>
      <c r="S396" s="32">
        <v>24.800949074074101</v>
      </c>
      <c r="T396" s="32">
        <v>0</v>
      </c>
      <c r="U396" s="32">
        <v>1</v>
      </c>
      <c r="V396" s="32">
        <v>24.800370370370398</v>
      </c>
      <c r="W396" s="32">
        <v>56</v>
      </c>
      <c r="X396" s="32">
        <v>22</v>
      </c>
      <c r="Y396" s="32">
        <v>22</v>
      </c>
      <c r="Z396" s="32">
        <v>0</v>
      </c>
      <c r="AA396" s="32">
        <v>1</v>
      </c>
      <c r="AC396" s="29"/>
    </row>
    <row r="397" spans="1:29" x14ac:dyDescent="0.25">
      <c r="A397" s="28" t="s">
        <v>685</v>
      </c>
      <c r="B397" s="28" t="s">
        <v>14</v>
      </c>
      <c r="C397" s="28" t="s">
        <v>16</v>
      </c>
      <c r="D397" s="28" t="s">
        <v>154</v>
      </c>
      <c r="E397" s="28" t="s">
        <v>21</v>
      </c>
      <c r="F397" s="28" t="s">
        <v>506</v>
      </c>
      <c r="G397" s="28" t="s">
        <v>511</v>
      </c>
      <c r="H397" s="28" t="s">
        <v>513</v>
      </c>
      <c r="I397" s="28" t="s">
        <v>516</v>
      </c>
      <c r="J397" s="28" t="s">
        <v>516</v>
      </c>
      <c r="K397" s="28" t="s">
        <v>529</v>
      </c>
      <c r="L397" s="28" t="s">
        <v>539</v>
      </c>
      <c r="M397" s="31">
        <v>42668</v>
      </c>
      <c r="N397" s="31"/>
      <c r="O397" s="31"/>
      <c r="P397" s="28" t="s">
        <v>105</v>
      </c>
      <c r="Q397" s="33">
        <v>1</v>
      </c>
      <c r="R397" s="33">
        <v>0.158460648148148</v>
      </c>
      <c r="S397" s="33">
        <v>0.15980324074074101</v>
      </c>
      <c r="T397" s="33">
        <v>0</v>
      </c>
      <c r="U397" s="33">
        <v>1</v>
      </c>
      <c r="V397" s="33">
        <v>0.15814814814814801</v>
      </c>
      <c r="W397" s="33">
        <v>28</v>
      </c>
      <c r="X397" s="33">
        <v>5</v>
      </c>
      <c r="Y397" s="33">
        <v>5</v>
      </c>
      <c r="Z397" s="33">
        <v>0</v>
      </c>
      <c r="AA397" s="33">
        <v>1</v>
      </c>
      <c r="AC397" s="29"/>
    </row>
    <row r="398" spans="1:29" x14ac:dyDescent="0.25">
      <c r="A398" s="27" t="s">
        <v>686</v>
      </c>
      <c r="B398" s="27" t="s">
        <v>14</v>
      </c>
      <c r="C398" s="27" t="s">
        <v>13</v>
      </c>
      <c r="D398" s="27" t="s">
        <v>154</v>
      </c>
      <c r="E398" s="27" t="s">
        <v>21</v>
      </c>
      <c r="F398" s="27" t="s">
        <v>506</v>
      </c>
      <c r="G398" s="27" t="s">
        <v>511</v>
      </c>
      <c r="H398" s="27" t="s">
        <v>513</v>
      </c>
      <c r="I398" s="27" t="s">
        <v>516</v>
      </c>
      <c r="J398" s="27" t="s">
        <v>516</v>
      </c>
      <c r="K398" s="27" t="s">
        <v>529</v>
      </c>
      <c r="L398" s="27" t="s">
        <v>539</v>
      </c>
      <c r="M398" s="30">
        <v>42668</v>
      </c>
      <c r="N398" s="30"/>
      <c r="O398" s="30"/>
      <c r="P398" s="27" t="s">
        <v>105</v>
      </c>
      <c r="Q398" s="32">
        <v>1</v>
      </c>
      <c r="R398" s="32">
        <v>1.3795370370370399</v>
      </c>
      <c r="S398" s="32">
        <v>1.88043981481481</v>
      </c>
      <c r="T398" s="32">
        <v>0</v>
      </c>
      <c r="U398" s="32">
        <v>1</v>
      </c>
      <c r="V398" s="32">
        <v>1.3786226851851899</v>
      </c>
      <c r="W398" s="32">
        <v>56</v>
      </c>
      <c r="X398" s="32">
        <v>7</v>
      </c>
      <c r="Y398" s="32">
        <v>7</v>
      </c>
      <c r="Z398" s="32">
        <v>0</v>
      </c>
      <c r="AA398" s="32">
        <v>1</v>
      </c>
      <c r="AC398" s="29"/>
    </row>
    <row r="399" spans="1:29" x14ac:dyDescent="0.25">
      <c r="A399" s="28" t="s">
        <v>687</v>
      </c>
      <c r="B399" s="28" t="s">
        <v>14</v>
      </c>
      <c r="C399" s="28" t="s">
        <v>16</v>
      </c>
      <c r="D399" s="28" t="s">
        <v>154</v>
      </c>
      <c r="E399" s="28" t="s">
        <v>21</v>
      </c>
      <c r="F399" s="28" t="s">
        <v>505</v>
      </c>
      <c r="G399" s="28" t="s">
        <v>512</v>
      </c>
      <c r="H399" s="28" t="s">
        <v>513</v>
      </c>
      <c r="I399" s="28" t="s">
        <v>516</v>
      </c>
      <c r="J399" s="28" t="s">
        <v>516</v>
      </c>
      <c r="K399" s="28" t="s">
        <v>529</v>
      </c>
      <c r="L399" s="28" t="s">
        <v>539</v>
      </c>
      <c r="M399" s="31">
        <v>42669</v>
      </c>
      <c r="N399" s="31"/>
      <c r="O399" s="31"/>
      <c r="P399" s="28" t="s">
        <v>98</v>
      </c>
      <c r="Q399" s="33">
        <v>1</v>
      </c>
      <c r="R399" s="33">
        <v>2.8440046296296302</v>
      </c>
      <c r="S399" s="33">
        <v>9.1072106481481505</v>
      </c>
      <c r="T399" s="33">
        <v>0</v>
      </c>
      <c r="U399" s="33">
        <v>1</v>
      </c>
      <c r="V399" s="33">
        <v>2.8378240740740699</v>
      </c>
      <c r="W399" s="33">
        <v>28</v>
      </c>
      <c r="X399" s="33">
        <v>15</v>
      </c>
      <c r="Y399" s="33">
        <v>15</v>
      </c>
      <c r="Z399" s="33">
        <v>0</v>
      </c>
      <c r="AA399" s="33">
        <v>1</v>
      </c>
      <c r="AC399" s="29"/>
    </row>
    <row r="400" spans="1:29" x14ac:dyDescent="0.25">
      <c r="A400" s="27" t="s">
        <v>688</v>
      </c>
      <c r="B400" s="27" t="s">
        <v>14</v>
      </c>
      <c r="C400" s="27" t="s">
        <v>16</v>
      </c>
      <c r="D400" s="27" t="s">
        <v>154</v>
      </c>
      <c r="E400" s="27" t="s">
        <v>21</v>
      </c>
      <c r="F400" s="27" t="s">
        <v>506</v>
      </c>
      <c r="G400" s="27" t="s">
        <v>511</v>
      </c>
      <c r="H400" s="27" t="s">
        <v>513</v>
      </c>
      <c r="I400" s="27" t="s">
        <v>516</v>
      </c>
      <c r="J400" s="27" t="s">
        <v>516</v>
      </c>
      <c r="K400" s="27" t="s">
        <v>529</v>
      </c>
      <c r="L400" s="27" t="s">
        <v>539</v>
      </c>
      <c r="M400" s="30">
        <v>42670</v>
      </c>
      <c r="N400" s="30"/>
      <c r="O400" s="30"/>
      <c r="P400" s="27" t="s">
        <v>105</v>
      </c>
      <c r="Q400" s="32">
        <v>1</v>
      </c>
      <c r="R400" s="32">
        <v>1.5328703703703701</v>
      </c>
      <c r="S400" s="32">
        <v>1.5330208333333299</v>
      </c>
      <c r="T400" s="32">
        <v>0</v>
      </c>
      <c r="U400" s="32">
        <v>1</v>
      </c>
      <c r="V400" s="32">
        <v>1.53150462962963</v>
      </c>
      <c r="W400" s="32">
        <v>28</v>
      </c>
      <c r="X400" s="32">
        <v>7</v>
      </c>
      <c r="Y400" s="32">
        <v>7</v>
      </c>
      <c r="Z400" s="32">
        <v>0</v>
      </c>
      <c r="AA400" s="32">
        <v>1</v>
      </c>
      <c r="AC400" s="29"/>
    </row>
    <row r="401" spans="1:29" x14ac:dyDescent="0.25">
      <c r="A401" s="28" t="s">
        <v>690</v>
      </c>
      <c r="B401" s="28" t="s">
        <v>14</v>
      </c>
      <c r="C401" s="28" t="s">
        <v>13</v>
      </c>
      <c r="D401" s="28" t="s">
        <v>154</v>
      </c>
      <c r="E401" s="28" t="s">
        <v>21</v>
      </c>
      <c r="F401" s="28" t="s">
        <v>506</v>
      </c>
      <c r="G401" s="28" t="s">
        <v>511</v>
      </c>
      <c r="H401" s="28" t="s">
        <v>513</v>
      </c>
      <c r="I401" s="28" t="s">
        <v>517</v>
      </c>
      <c r="J401" s="28" t="s">
        <v>522</v>
      </c>
      <c r="K401" s="28" t="s">
        <v>529</v>
      </c>
      <c r="L401" s="28" t="s">
        <v>539</v>
      </c>
      <c r="M401" s="31">
        <v>42674</v>
      </c>
      <c r="N401" s="31">
        <v>42679</v>
      </c>
      <c r="O401" s="31">
        <v>42692</v>
      </c>
      <c r="P401" s="28" t="s">
        <v>113</v>
      </c>
      <c r="Q401" s="33">
        <v>1</v>
      </c>
      <c r="R401" s="33">
        <v>18.020462962962998</v>
      </c>
      <c r="S401" s="33">
        <v>18.0209143518519</v>
      </c>
      <c r="T401" s="33">
        <v>1</v>
      </c>
      <c r="U401" s="33">
        <v>1</v>
      </c>
      <c r="V401" s="33">
        <v>18.018773148148099</v>
      </c>
      <c r="W401" s="33">
        <v>56</v>
      </c>
      <c r="X401" s="33">
        <v>24.5</v>
      </c>
      <c r="Y401" s="33">
        <v>11.5</v>
      </c>
      <c r="Z401" s="33">
        <v>13</v>
      </c>
      <c r="AA401" s="33">
        <v>1</v>
      </c>
      <c r="AC401" s="29"/>
    </row>
    <row r="402" spans="1:29" x14ac:dyDescent="0.25">
      <c r="A402" s="27" t="s">
        <v>691</v>
      </c>
      <c r="B402" s="27" t="s">
        <v>14</v>
      </c>
      <c r="C402" s="27" t="s">
        <v>13</v>
      </c>
      <c r="D402" s="27" t="s">
        <v>154</v>
      </c>
      <c r="E402" s="27" t="s">
        <v>21</v>
      </c>
      <c r="F402" s="27" t="s">
        <v>506</v>
      </c>
      <c r="G402" s="27" t="s">
        <v>511</v>
      </c>
      <c r="H402" s="27" t="s">
        <v>513</v>
      </c>
      <c r="I402" s="27" t="s">
        <v>517</v>
      </c>
      <c r="J402" s="27" t="s">
        <v>522</v>
      </c>
      <c r="K402" s="27" t="s">
        <v>529</v>
      </c>
      <c r="L402" s="27" t="s">
        <v>680</v>
      </c>
      <c r="M402" s="30">
        <v>42675</v>
      </c>
      <c r="N402" s="30">
        <v>42677</v>
      </c>
      <c r="O402" s="30">
        <v>42677</v>
      </c>
      <c r="P402" s="27" t="s">
        <v>113</v>
      </c>
      <c r="Q402" s="32">
        <v>1</v>
      </c>
      <c r="R402" s="32">
        <v>40.055937499999999</v>
      </c>
      <c r="S402" s="32">
        <v>40.055937499999999</v>
      </c>
      <c r="T402" s="32">
        <v>0</v>
      </c>
      <c r="U402" s="32">
        <v>0</v>
      </c>
      <c r="V402" s="32">
        <v>0</v>
      </c>
      <c r="W402" s="32">
        <v>56</v>
      </c>
      <c r="X402" s="32">
        <v>22</v>
      </c>
      <c r="Y402" s="32">
        <v>13</v>
      </c>
      <c r="Z402" s="32">
        <v>9</v>
      </c>
      <c r="AA402" s="32">
        <v>0</v>
      </c>
      <c r="AC402" s="29"/>
    </row>
    <row r="403" spans="1:29" x14ac:dyDescent="0.25">
      <c r="A403" s="28" t="s">
        <v>692</v>
      </c>
      <c r="B403" s="28" t="s">
        <v>19</v>
      </c>
      <c r="C403" s="28" t="s">
        <v>13</v>
      </c>
      <c r="D403" s="28" t="s">
        <v>154</v>
      </c>
      <c r="E403" s="28" t="s">
        <v>21</v>
      </c>
      <c r="F403" s="28" t="s">
        <v>506</v>
      </c>
      <c r="G403" s="28" t="s">
        <v>702</v>
      </c>
      <c r="H403" s="28" t="s">
        <v>513</v>
      </c>
      <c r="I403" s="28" t="s">
        <v>517</v>
      </c>
      <c r="J403" s="28" t="s">
        <v>520</v>
      </c>
      <c r="K403" s="28" t="s">
        <v>529</v>
      </c>
      <c r="L403" s="28" t="s">
        <v>714</v>
      </c>
      <c r="M403" s="31">
        <v>42676</v>
      </c>
      <c r="N403" s="31">
        <v>42676</v>
      </c>
      <c r="O403" s="31">
        <v>42695</v>
      </c>
      <c r="P403" s="28" t="s">
        <v>98</v>
      </c>
      <c r="Q403" s="33">
        <v>1</v>
      </c>
      <c r="R403" s="33">
        <v>29.9674884259259</v>
      </c>
      <c r="S403" s="33">
        <v>39.126469907407397</v>
      </c>
      <c r="T403" s="33">
        <v>1</v>
      </c>
      <c r="U403" s="33">
        <v>1</v>
      </c>
      <c r="V403" s="33">
        <v>29.9674884259259</v>
      </c>
      <c r="W403" s="33">
        <v>56</v>
      </c>
      <c r="X403" s="33">
        <v>25.25</v>
      </c>
      <c r="Y403" s="33">
        <v>1.25</v>
      </c>
      <c r="Z403" s="33">
        <v>24</v>
      </c>
      <c r="AA403" s="33">
        <v>1</v>
      </c>
      <c r="AC403" s="29"/>
    </row>
    <row r="404" spans="1:29" x14ac:dyDescent="0.25">
      <c r="A404" s="27" t="s">
        <v>693</v>
      </c>
      <c r="B404" s="27" t="s">
        <v>19</v>
      </c>
      <c r="C404" s="27" t="s">
        <v>13</v>
      </c>
      <c r="D404" s="27" t="s">
        <v>154</v>
      </c>
      <c r="E404" s="27" t="s">
        <v>21</v>
      </c>
      <c r="F404" s="27" t="s">
        <v>506</v>
      </c>
      <c r="G404" s="27" t="s">
        <v>702</v>
      </c>
      <c r="H404" s="27" t="s">
        <v>513</v>
      </c>
      <c r="I404" s="27" t="s">
        <v>517</v>
      </c>
      <c r="J404" s="27" t="s">
        <v>520</v>
      </c>
      <c r="K404" s="27" t="s">
        <v>529</v>
      </c>
      <c r="L404" s="27" t="s">
        <v>714</v>
      </c>
      <c r="M404" s="30">
        <v>42676</v>
      </c>
      <c r="N404" s="30">
        <v>42676</v>
      </c>
      <c r="O404" s="30">
        <v>42696</v>
      </c>
      <c r="P404" s="27" t="s">
        <v>98</v>
      </c>
      <c r="Q404" s="32">
        <v>1</v>
      </c>
      <c r="R404" s="32">
        <v>29.954594907407401</v>
      </c>
      <c r="S404" s="32">
        <v>39.117326388888898</v>
      </c>
      <c r="T404" s="32">
        <v>1</v>
      </c>
      <c r="U404" s="32">
        <v>1</v>
      </c>
      <c r="V404" s="32">
        <v>29.954594907407401</v>
      </c>
      <c r="W404" s="32">
        <v>56</v>
      </c>
      <c r="X404" s="32">
        <v>24.75</v>
      </c>
      <c r="Y404" s="32">
        <v>0.75</v>
      </c>
      <c r="Z404" s="32">
        <v>24</v>
      </c>
      <c r="AA404" s="32">
        <v>1</v>
      </c>
      <c r="AC404" s="29"/>
    </row>
    <row r="405" spans="1:29" x14ac:dyDescent="0.25">
      <c r="A405" s="28" t="s">
        <v>694</v>
      </c>
      <c r="B405" s="28" t="s">
        <v>19</v>
      </c>
      <c r="C405" s="28" t="s">
        <v>13</v>
      </c>
      <c r="D405" s="28" t="s">
        <v>154</v>
      </c>
      <c r="E405" s="28" t="s">
        <v>21</v>
      </c>
      <c r="F405" s="28" t="s">
        <v>506</v>
      </c>
      <c r="G405" s="28" t="s">
        <v>702</v>
      </c>
      <c r="H405" s="28" t="s">
        <v>513</v>
      </c>
      <c r="I405" s="28" t="s">
        <v>517</v>
      </c>
      <c r="J405" s="28" t="s">
        <v>522</v>
      </c>
      <c r="K405" s="28" t="s">
        <v>713</v>
      </c>
      <c r="L405" s="28" t="s">
        <v>714</v>
      </c>
      <c r="M405" s="31">
        <v>42676</v>
      </c>
      <c r="N405" s="31">
        <v>42676</v>
      </c>
      <c r="O405" s="31">
        <v>42698</v>
      </c>
      <c r="P405" s="28" t="s">
        <v>110</v>
      </c>
      <c r="Q405" s="33">
        <v>1</v>
      </c>
      <c r="R405" s="33">
        <v>29.944652777777801</v>
      </c>
      <c r="S405" s="33">
        <v>39.113182870370402</v>
      </c>
      <c r="T405" s="33">
        <v>1</v>
      </c>
      <c r="U405" s="33">
        <v>1</v>
      </c>
      <c r="V405" s="33">
        <v>29.944652777777801</v>
      </c>
      <c r="W405" s="33">
        <v>56</v>
      </c>
      <c r="X405" s="33">
        <v>13.25</v>
      </c>
      <c r="Y405" s="33">
        <v>1.25</v>
      </c>
      <c r="Z405" s="33">
        <v>12</v>
      </c>
      <c r="AA405" s="33">
        <v>1</v>
      </c>
      <c r="AC405" s="29"/>
    </row>
    <row r="406" spans="1:29" x14ac:dyDescent="0.25">
      <c r="A406" s="27" t="s">
        <v>695</v>
      </c>
      <c r="B406" s="27" t="s">
        <v>19</v>
      </c>
      <c r="C406" s="27" t="s">
        <v>13</v>
      </c>
      <c r="D406" s="27" t="s">
        <v>154</v>
      </c>
      <c r="E406" s="27" t="s">
        <v>21</v>
      </c>
      <c r="F406" s="27" t="s">
        <v>506</v>
      </c>
      <c r="G406" s="27" t="s">
        <v>702</v>
      </c>
      <c r="H406" s="27" t="s">
        <v>513</v>
      </c>
      <c r="I406" s="27" t="s">
        <v>517</v>
      </c>
      <c r="J406" s="27" t="s">
        <v>520</v>
      </c>
      <c r="K406" s="27" t="s">
        <v>529</v>
      </c>
      <c r="L406" s="27" t="s">
        <v>714</v>
      </c>
      <c r="M406" s="30">
        <v>42676</v>
      </c>
      <c r="N406" s="30">
        <v>42676</v>
      </c>
      <c r="O406" s="30">
        <v>42695</v>
      </c>
      <c r="P406" s="27" t="s">
        <v>114</v>
      </c>
      <c r="Q406" s="32">
        <v>1</v>
      </c>
      <c r="R406" s="32">
        <v>29.918425925925899</v>
      </c>
      <c r="S406" s="32">
        <v>39.1059027777778</v>
      </c>
      <c r="T406" s="32">
        <v>1</v>
      </c>
      <c r="U406" s="32">
        <v>1</v>
      </c>
      <c r="V406" s="32">
        <v>29.918425925925899</v>
      </c>
      <c r="W406" s="32">
        <v>56</v>
      </c>
      <c r="X406" s="32">
        <v>25.25</v>
      </c>
      <c r="Y406" s="32">
        <v>1.25</v>
      </c>
      <c r="Z406" s="32">
        <v>24</v>
      </c>
      <c r="AA406" s="32">
        <v>1</v>
      </c>
      <c r="AC406" s="29"/>
    </row>
    <row r="407" spans="1:29" x14ac:dyDescent="0.25">
      <c r="A407" s="28" t="s">
        <v>696</v>
      </c>
      <c r="B407" s="28" t="s">
        <v>14</v>
      </c>
      <c r="C407" s="28" t="s">
        <v>13</v>
      </c>
      <c r="D407" s="28" t="s">
        <v>154</v>
      </c>
      <c r="E407" s="28" t="s">
        <v>21</v>
      </c>
      <c r="F407" s="28" t="s">
        <v>506</v>
      </c>
      <c r="G407" s="28" t="s">
        <v>511</v>
      </c>
      <c r="H407" s="28" t="s">
        <v>513</v>
      </c>
      <c r="I407" s="28" t="s">
        <v>517</v>
      </c>
      <c r="J407" s="28" t="s">
        <v>522</v>
      </c>
      <c r="K407" s="28" t="s">
        <v>529</v>
      </c>
      <c r="L407" s="28" t="s">
        <v>539</v>
      </c>
      <c r="M407" s="31">
        <v>42677</v>
      </c>
      <c r="N407" s="31">
        <v>42677</v>
      </c>
      <c r="O407" s="31">
        <v>42683</v>
      </c>
      <c r="P407" s="28" t="s">
        <v>109</v>
      </c>
      <c r="Q407" s="33">
        <v>1</v>
      </c>
      <c r="R407" s="33">
        <v>7.5250347222222196</v>
      </c>
      <c r="S407" s="33">
        <v>7.5251851851851903</v>
      </c>
      <c r="T407" s="33">
        <v>1</v>
      </c>
      <c r="U407" s="33">
        <v>1</v>
      </c>
      <c r="V407" s="33">
        <v>6.9068981481481497</v>
      </c>
      <c r="W407" s="33">
        <v>56</v>
      </c>
      <c r="X407" s="33">
        <v>19</v>
      </c>
      <c r="Y407" s="33">
        <v>9</v>
      </c>
      <c r="Z407" s="33">
        <v>10</v>
      </c>
      <c r="AA407" s="33">
        <v>1</v>
      </c>
      <c r="AC407" s="29"/>
    </row>
    <row r="408" spans="1:29" x14ac:dyDescent="0.25">
      <c r="A408" s="27" t="s">
        <v>697</v>
      </c>
      <c r="B408" s="27" t="s">
        <v>14</v>
      </c>
      <c r="C408" s="27" t="s">
        <v>16</v>
      </c>
      <c r="D408" s="27" t="s">
        <v>154</v>
      </c>
      <c r="E408" s="27" t="s">
        <v>21</v>
      </c>
      <c r="F408" s="27" t="s">
        <v>506</v>
      </c>
      <c r="G408" s="27" t="s">
        <v>511</v>
      </c>
      <c r="H408" s="27" t="s">
        <v>513</v>
      </c>
      <c r="I408" s="27" t="s">
        <v>516</v>
      </c>
      <c r="J408" s="27" t="s">
        <v>516</v>
      </c>
      <c r="K408" s="27" t="s">
        <v>529</v>
      </c>
      <c r="L408" s="27" t="s">
        <v>539</v>
      </c>
      <c r="M408" s="30">
        <v>42683</v>
      </c>
      <c r="N408" s="30"/>
      <c r="O408" s="30"/>
      <c r="P408" s="27" t="s">
        <v>104</v>
      </c>
      <c r="Q408" s="32">
        <v>1</v>
      </c>
      <c r="R408" s="32">
        <v>0.40872685185185198</v>
      </c>
      <c r="S408" s="32">
        <v>0.40902777777777799</v>
      </c>
      <c r="T408" s="32">
        <v>0</v>
      </c>
      <c r="U408" s="32">
        <v>1</v>
      </c>
      <c r="V408" s="32">
        <v>0.40392361111111103</v>
      </c>
      <c r="W408" s="32">
        <v>28</v>
      </c>
      <c r="X408" s="32">
        <v>8</v>
      </c>
      <c r="Y408" s="32">
        <v>8</v>
      </c>
      <c r="Z408" s="32">
        <v>0</v>
      </c>
      <c r="AA408" s="32">
        <v>1</v>
      </c>
      <c r="AC408" s="29"/>
    </row>
    <row r="409" spans="1:29" x14ac:dyDescent="0.25">
      <c r="A409" s="28" t="s">
        <v>698</v>
      </c>
      <c r="B409" s="28" t="s">
        <v>14</v>
      </c>
      <c r="C409" s="28" t="s">
        <v>17</v>
      </c>
      <c r="D409" s="28" t="s">
        <v>154</v>
      </c>
      <c r="E409" s="28" t="s">
        <v>21</v>
      </c>
      <c r="F409" s="28" t="s">
        <v>506</v>
      </c>
      <c r="G409" s="28" t="s">
        <v>511</v>
      </c>
      <c r="H409" s="28" t="s">
        <v>513</v>
      </c>
      <c r="I409" s="28" t="s">
        <v>518</v>
      </c>
      <c r="J409" s="28" t="s">
        <v>703</v>
      </c>
      <c r="K409" s="28" t="s">
        <v>529</v>
      </c>
      <c r="L409" s="28" t="s">
        <v>539</v>
      </c>
      <c r="M409" s="31">
        <v>42683</v>
      </c>
      <c r="N409" s="31">
        <v>42683</v>
      </c>
      <c r="O409" s="31">
        <v>42683</v>
      </c>
      <c r="P409" s="28" t="s">
        <v>104</v>
      </c>
      <c r="Q409" s="33">
        <v>1</v>
      </c>
      <c r="R409" s="33">
        <v>3.71527777777778E-3</v>
      </c>
      <c r="S409" s="33">
        <v>2.9236111111111102E-2</v>
      </c>
      <c r="T409" s="33">
        <v>0</v>
      </c>
      <c r="U409" s="33">
        <v>1</v>
      </c>
      <c r="V409" s="33">
        <v>3.1365740740740698E-3</v>
      </c>
      <c r="W409" s="33">
        <v>3</v>
      </c>
      <c r="X409" s="33">
        <v>3</v>
      </c>
      <c r="Y409" s="33">
        <v>3</v>
      </c>
      <c r="Z409" s="33">
        <v>0</v>
      </c>
      <c r="AA409" s="33">
        <v>1</v>
      </c>
      <c r="AC409" s="29"/>
    </row>
    <row r="410" spans="1:29" x14ac:dyDescent="0.25">
      <c r="A410" s="27" t="s">
        <v>699</v>
      </c>
      <c r="B410" s="27" t="s">
        <v>14</v>
      </c>
      <c r="C410" s="27" t="s">
        <v>16</v>
      </c>
      <c r="D410" s="27" t="s">
        <v>154</v>
      </c>
      <c r="E410" s="27" t="s">
        <v>21</v>
      </c>
      <c r="F410" s="27" t="s">
        <v>506</v>
      </c>
      <c r="G410" s="27" t="s">
        <v>511</v>
      </c>
      <c r="H410" s="27" t="s">
        <v>513</v>
      </c>
      <c r="I410" s="27" t="s">
        <v>517</v>
      </c>
      <c r="J410" s="27" t="s">
        <v>523</v>
      </c>
      <c r="K410" s="27" t="s">
        <v>529</v>
      </c>
      <c r="L410" s="27" t="s">
        <v>539</v>
      </c>
      <c r="M410" s="30">
        <v>42683</v>
      </c>
      <c r="N410" s="30">
        <v>42683</v>
      </c>
      <c r="O410" s="30">
        <v>42688</v>
      </c>
      <c r="P410" s="27" t="s">
        <v>112</v>
      </c>
      <c r="Q410" s="32">
        <v>1</v>
      </c>
      <c r="R410" s="32">
        <v>5.1925694444444401</v>
      </c>
      <c r="S410" s="32">
        <v>5.1932175925925899</v>
      </c>
      <c r="T410" s="32">
        <v>1</v>
      </c>
      <c r="U410" s="32">
        <v>1</v>
      </c>
      <c r="V410" s="32">
        <v>5.1920717592592602</v>
      </c>
      <c r="W410" s="32">
        <v>28</v>
      </c>
      <c r="X410" s="32">
        <v>11.5</v>
      </c>
      <c r="Y410" s="32">
        <v>5.5</v>
      </c>
      <c r="Z410" s="32">
        <v>6</v>
      </c>
      <c r="AA410" s="32">
        <v>1</v>
      </c>
      <c r="AC410" s="29"/>
    </row>
    <row r="411" spans="1:29" x14ac:dyDescent="0.25">
      <c r="A411" s="28" t="s">
        <v>700</v>
      </c>
      <c r="B411" s="28" t="s">
        <v>14</v>
      </c>
      <c r="C411" s="28" t="s">
        <v>16</v>
      </c>
      <c r="D411" s="28" t="s">
        <v>154</v>
      </c>
      <c r="E411" s="28" t="s">
        <v>21</v>
      </c>
      <c r="F411" s="28" t="s">
        <v>506</v>
      </c>
      <c r="G411" s="28" t="s">
        <v>511</v>
      </c>
      <c r="H411" s="28" t="s">
        <v>513</v>
      </c>
      <c r="I411" s="28" t="s">
        <v>517</v>
      </c>
      <c r="J411" s="28" t="s">
        <v>523</v>
      </c>
      <c r="K411" s="28" t="s">
        <v>529</v>
      </c>
      <c r="L411" s="28" t="s">
        <v>539</v>
      </c>
      <c r="M411" s="31">
        <v>42684</v>
      </c>
      <c r="N411" s="31">
        <v>42684</v>
      </c>
      <c r="O411" s="31">
        <v>42688</v>
      </c>
      <c r="P411" s="28" t="s">
        <v>115</v>
      </c>
      <c r="Q411" s="33">
        <v>1</v>
      </c>
      <c r="R411" s="33">
        <v>4.9220717592592598</v>
      </c>
      <c r="S411" s="33">
        <v>6.9164583333333303</v>
      </c>
      <c r="T411" s="33">
        <v>1</v>
      </c>
      <c r="U411" s="33">
        <v>1</v>
      </c>
      <c r="V411" s="33">
        <v>4.9215740740740701</v>
      </c>
      <c r="W411" s="33">
        <v>28</v>
      </c>
      <c r="X411" s="33">
        <v>13</v>
      </c>
      <c r="Y411" s="33">
        <v>11</v>
      </c>
      <c r="Z411" s="33">
        <v>2</v>
      </c>
      <c r="AA411" s="33">
        <v>1</v>
      </c>
      <c r="AC411" s="29"/>
    </row>
    <row r="412" spans="1:29" x14ac:dyDescent="0.25">
      <c r="A412" s="27" t="s">
        <v>701</v>
      </c>
      <c r="B412" s="27" t="s">
        <v>14</v>
      </c>
      <c r="C412" s="27" t="s">
        <v>13</v>
      </c>
      <c r="D412" s="27" t="s">
        <v>154</v>
      </c>
      <c r="E412" s="27" t="s">
        <v>21</v>
      </c>
      <c r="F412" s="27" t="s">
        <v>506</v>
      </c>
      <c r="G412" s="27" t="s">
        <v>511</v>
      </c>
      <c r="H412" s="27" t="s">
        <v>513</v>
      </c>
      <c r="I412" s="27" t="s">
        <v>516</v>
      </c>
      <c r="J412" s="27" t="s">
        <v>516</v>
      </c>
      <c r="K412" s="27" t="s">
        <v>529</v>
      </c>
      <c r="L412" s="27" t="s">
        <v>539</v>
      </c>
      <c r="M412" s="30">
        <v>42685</v>
      </c>
      <c r="N412" s="30"/>
      <c r="O412" s="30"/>
      <c r="P412" s="27" t="s">
        <v>110</v>
      </c>
      <c r="Q412" s="32">
        <v>1</v>
      </c>
      <c r="R412" s="32">
        <v>0.22355324074074101</v>
      </c>
      <c r="S412" s="32">
        <v>0.23447916666666699</v>
      </c>
      <c r="T412" s="32">
        <v>0</v>
      </c>
      <c r="U412" s="32">
        <v>1</v>
      </c>
      <c r="V412" s="32">
        <v>0.22328703703703701</v>
      </c>
      <c r="W412" s="32">
        <v>56</v>
      </c>
      <c r="X412" s="32">
        <v>4</v>
      </c>
      <c r="Y412" s="32">
        <v>4</v>
      </c>
      <c r="Z412" s="32">
        <v>0</v>
      </c>
      <c r="AA412" s="32">
        <v>1</v>
      </c>
      <c r="AC412" s="29"/>
    </row>
    <row r="413" spans="1:29" x14ac:dyDescent="0.25">
      <c r="A413" s="28" t="s">
        <v>706</v>
      </c>
      <c r="B413" s="28" t="s">
        <v>14</v>
      </c>
      <c r="C413" s="28" t="s">
        <v>15</v>
      </c>
      <c r="D413" s="28" t="s">
        <v>154</v>
      </c>
      <c r="E413" s="28" t="s">
        <v>21</v>
      </c>
      <c r="F413" s="28" t="s">
        <v>506</v>
      </c>
      <c r="G413" s="28" t="s">
        <v>511</v>
      </c>
      <c r="H413" s="28" t="s">
        <v>513</v>
      </c>
      <c r="I413" s="28" t="s">
        <v>516</v>
      </c>
      <c r="J413" s="28" t="s">
        <v>516</v>
      </c>
      <c r="K413" s="28" t="s">
        <v>529</v>
      </c>
      <c r="L413" s="28" t="s">
        <v>539</v>
      </c>
      <c r="M413" s="31">
        <v>42689</v>
      </c>
      <c r="N413" s="31"/>
      <c r="O413" s="31"/>
      <c r="P413" s="28" t="s">
        <v>114</v>
      </c>
      <c r="Q413" s="33">
        <v>1</v>
      </c>
      <c r="R413" s="33">
        <v>22.798206018518499</v>
      </c>
      <c r="S413" s="33">
        <v>22.798379629629601</v>
      </c>
      <c r="T413" s="33">
        <v>0</v>
      </c>
      <c r="U413" s="33">
        <v>1</v>
      </c>
      <c r="V413" s="33">
        <v>22.797337962962999</v>
      </c>
      <c r="W413" s="33">
        <v>140</v>
      </c>
      <c r="X413" s="33">
        <v>12.5</v>
      </c>
      <c r="Y413" s="33">
        <v>12.5</v>
      </c>
      <c r="Z413" s="33">
        <v>0</v>
      </c>
      <c r="AA413" s="33">
        <v>1</v>
      </c>
      <c r="AC413" s="29"/>
    </row>
    <row r="414" spans="1:29" x14ac:dyDescent="0.25">
      <c r="A414" s="27" t="s">
        <v>707</v>
      </c>
      <c r="B414" s="27" t="s">
        <v>14</v>
      </c>
      <c r="C414" s="27" t="s">
        <v>13</v>
      </c>
      <c r="D414" s="27" t="s">
        <v>154</v>
      </c>
      <c r="E414" s="27" t="s">
        <v>21</v>
      </c>
      <c r="F414" s="27" t="s">
        <v>505</v>
      </c>
      <c r="G414" s="27" t="s">
        <v>512</v>
      </c>
      <c r="H414" s="27" t="s">
        <v>513</v>
      </c>
      <c r="I414" s="27" t="s">
        <v>516</v>
      </c>
      <c r="J414" s="27" t="s">
        <v>516</v>
      </c>
      <c r="K414" s="27" t="s">
        <v>529</v>
      </c>
      <c r="L414" s="27" t="s">
        <v>539</v>
      </c>
      <c r="M414" s="30">
        <v>42690</v>
      </c>
      <c r="N414" s="30"/>
      <c r="O414" s="30"/>
      <c r="P414" s="27" t="s">
        <v>114</v>
      </c>
      <c r="Q414" s="32">
        <v>1</v>
      </c>
      <c r="R414" s="32">
        <v>2.1924652777777802</v>
      </c>
      <c r="S414" s="32">
        <v>2.1926273148148101</v>
      </c>
      <c r="T414" s="32">
        <v>0</v>
      </c>
      <c r="U414" s="32">
        <v>1</v>
      </c>
      <c r="V414" s="32">
        <v>1.20141203703704</v>
      </c>
      <c r="W414" s="32">
        <v>56</v>
      </c>
      <c r="X414" s="32">
        <v>9</v>
      </c>
      <c r="Y414" s="32">
        <v>9</v>
      </c>
      <c r="Z414" s="32">
        <v>0</v>
      </c>
      <c r="AA414" s="32">
        <v>1</v>
      </c>
      <c r="AC414" s="29"/>
    </row>
    <row r="415" spans="1:29" x14ac:dyDescent="0.25">
      <c r="A415" s="28" t="s">
        <v>708</v>
      </c>
      <c r="B415" s="28" t="s">
        <v>14</v>
      </c>
      <c r="C415" s="28" t="s">
        <v>13</v>
      </c>
      <c r="D415" s="28" t="s">
        <v>154</v>
      </c>
      <c r="E415" s="28" t="s">
        <v>21</v>
      </c>
      <c r="F415" s="28" t="s">
        <v>505</v>
      </c>
      <c r="G415" s="28" t="s">
        <v>512</v>
      </c>
      <c r="H415" s="28" t="s">
        <v>513</v>
      </c>
      <c r="I415" s="28" t="s">
        <v>516</v>
      </c>
      <c r="J415" s="28" t="s">
        <v>516</v>
      </c>
      <c r="K415" s="28" t="s">
        <v>529</v>
      </c>
      <c r="L415" s="28" t="s">
        <v>714</v>
      </c>
      <c r="M415" s="31">
        <v>42691</v>
      </c>
      <c r="N415" s="31"/>
      <c r="O415" s="31"/>
      <c r="P415" s="28" t="s">
        <v>114</v>
      </c>
      <c r="Q415" s="33">
        <v>1</v>
      </c>
      <c r="R415" s="33">
        <v>21.7775462962963</v>
      </c>
      <c r="S415" s="33">
        <v>24.167743055555601</v>
      </c>
      <c r="T415" s="33">
        <v>0</v>
      </c>
      <c r="U415" s="33">
        <v>1</v>
      </c>
      <c r="V415" s="33">
        <v>21.7775462962963</v>
      </c>
      <c r="W415" s="33">
        <v>56</v>
      </c>
      <c r="X415" s="33">
        <v>15</v>
      </c>
      <c r="Y415" s="33">
        <v>15</v>
      </c>
      <c r="Z415" s="33">
        <v>0</v>
      </c>
      <c r="AA415" s="33">
        <v>1</v>
      </c>
      <c r="AC415" s="29"/>
    </row>
    <row r="416" spans="1:29" x14ac:dyDescent="0.25">
      <c r="A416" s="27" t="s">
        <v>709</v>
      </c>
      <c r="B416" s="27" t="s">
        <v>14</v>
      </c>
      <c r="C416" s="27" t="s">
        <v>13</v>
      </c>
      <c r="D416" s="27" t="s">
        <v>154</v>
      </c>
      <c r="E416" s="27" t="s">
        <v>21</v>
      </c>
      <c r="F416" s="27" t="s">
        <v>505</v>
      </c>
      <c r="G416" s="27" t="s">
        <v>156</v>
      </c>
      <c r="H416" s="27" t="s">
        <v>513</v>
      </c>
      <c r="I416" s="27" t="s">
        <v>516</v>
      </c>
      <c r="J416" s="27" t="s">
        <v>516</v>
      </c>
      <c r="K416" s="27" t="s">
        <v>529</v>
      </c>
      <c r="L416" s="27" t="s">
        <v>539</v>
      </c>
      <c r="M416" s="30">
        <v>42692</v>
      </c>
      <c r="N416" s="30"/>
      <c r="O416" s="30"/>
      <c r="P416" s="27" t="s">
        <v>105</v>
      </c>
      <c r="Q416" s="32">
        <v>1</v>
      </c>
      <c r="R416" s="32">
        <v>3.9265162037037</v>
      </c>
      <c r="S416" s="32">
        <v>11.4025462962963</v>
      </c>
      <c r="T416" s="32">
        <v>0</v>
      </c>
      <c r="U416" s="32">
        <v>1</v>
      </c>
      <c r="V416" s="32">
        <v>3.1533912037037002</v>
      </c>
      <c r="W416" s="32">
        <v>56</v>
      </c>
      <c r="X416" s="32">
        <v>7</v>
      </c>
      <c r="Y416" s="32">
        <v>7</v>
      </c>
      <c r="Z416" s="32">
        <v>0</v>
      </c>
      <c r="AA416" s="32">
        <v>1</v>
      </c>
      <c r="AC416" s="29"/>
    </row>
    <row r="417" spans="1:29" x14ac:dyDescent="0.25">
      <c r="A417" s="28" t="s">
        <v>710</v>
      </c>
      <c r="B417" s="28" t="s">
        <v>14</v>
      </c>
      <c r="C417" s="28" t="s">
        <v>13</v>
      </c>
      <c r="D417" s="28" t="s">
        <v>154</v>
      </c>
      <c r="E417" s="28" t="s">
        <v>21</v>
      </c>
      <c r="F417" s="28" t="s">
        <v>505</v>
      </c>
      <c r="G417" s="28" t="s">
        <v>679</v>
      </c>
      <c r="H417" s="28" t="s">
        <v>513</v>
      </c>
      <c r="I417" s="28" t="s">
        <v>516</v>
      </c>
      <c r="J417" s="28" t="s">
        <v>516</v>
      </c>
      <c r="K417" s="28" t="s">
        <v>529</v>
      </c>
      <c r="L417" s="28" t="s">
        <v>539</v>
      </c>
      <c r="M417" s="31">
        <v>42695</v>
      </c>
      <c r="N417" s="31"/>
      <c r="O417" s="31"/>
      <c r="P417" s="28" t="s">
        <v>101</v>
      </c>
      <c r="Q417" s="33">
        <v>1</v>
      </c>
      <c r="R417" s="33">
        <v>14.9983217592593</v>
      </c>
      <c r="S417" s="33">
        <v>14.9992939814815</v>
      </c>
      <c r="T417" s="33">
        <v>0</v>
      </c>
      <c r="U417" s="33">
        <v>1</v>
      </c>
      <c r="V417" s="33">
        <v>14.9895486111111</v>
      </c>
      <c r="W417" s="33">
        <v>56</v>
      </c>
      <c r="X417" s="33">
        <v>4</v>
      </c>
      <c r="Y417" s="33">
        <v>4</v>
      </c>
      <c r="Z417" s="33">
        <v>0</v>
      </c>
      <c r="AA417" s="33">
        <v>1</v>
      </c>
      <c r="AC417" s="29"/>
    </row>
    <row r="418" spans="1:29" x14ac:dyDescent="0.25">
      <c r="A418" s="27" t="s">
        <v>711</v>
      </c>
      <c r="B418" s="27" t="s">
        <v>14</v>
      </c>
      <c r="C418" s="27" t="s">
        <v>16</v>
      </c>
      <c r="D418" s="27" t="s">
        <v>154</v>
      </c>
      <c r="E418" s="27" t="s">
        <v>21</v>
      </c>
      <c r="F418" s="27" t="s">
        <v>505</v>
      </c>
      <c r="G418" s="27" t="s">
        <v>156</v>
      </c>
      <c r="H418" s="27" t="s">
        <v>513</v>
      </c>
      <c r="I418" s="27" t="s">
        <v>516</v>
      </c>
      <c r="J418" s="27" t="s">
        <v>516</v>
      </c>
      <c r="K418" s="27" t="s">
        <v>529</v>
      </c>
      <c r="L418" s="27" t="s">
        <v>539</v>
      </c>
      <c r="M418" s="30">
        <v>42699</v>
      </c>
      <c r="N418" s="30"/>
      <c r="O418" s="30"/>
      <c r="P418" s="27" t="s">
        <v>104</v>
      </c>
      <c r="Q418" s="32">
        <v>1</v>
      </c>
      <c r="R418" s="32">
        <v>3.02131944444444</v>
      </c>
      <c r="S418" s="32">
        <v>3.02150462962963</v>
      </c>
      <c r="T418" s="32">
        <v>0</v>
      </c>
      <c r="U418" s="32">
        <v>1</v>
      </c>
      <c r="V418" s="32">
        <v>1.5981712962962999</v>
      </c>
      <c r="W418" s="32">
        <v>28</v>
      </c>
      <c r="X418" s="32">
        <v>7</v>
      </c>
      <c r="Y418" s="32">
        <v>7</v>
      </c>
      <c r="Z418" s="32">
        <v>0</v>
      </c>
      <c r="AA418" s="32">
        <v>1</v>
      </c>
      <c r="AC418" s="29"/>
    </row>
    <row r="419" spans="1:29" x14ac:dyDescent="0.25">
      <c r="A419" s="28" t="s">
        <v>712</v>
      </c>
      <c r="B419" s="28" t="s">
        <v>14</v>
      </c>
      <c r="C419" s="28" t="s">
        <v>13</v>
      </c>
      <c r="D419" s="28" t="s">
        <v>154</v>
      </c>
      <c r="E419" s="28" t="s">
        <v>21</v>
      </c>
      <c r="F419" s="28" t="s">
        <v>505</v>
      </c>
      <c r="G419" s="28" t="s">
        <v>156</v>
      </c>
      <c r="H419" s="28" t="s">
        <v>513</v>
      </c>
      <c r="I419" s="28" t="s">
        <v>516</v>
      </c>
      <c r="J419" s="28" t="s">
        <v>516</v>
      </c>
      <c r="K419" s="28" t="s">
        <v>529</v>
      </c>
      <c r="L419" s="28" t="s">
        <v>539</v>
      </c>
      <c r="M419" s="31">
        <v>42699</v>
      </c>
      <c r="N419" s="31"/>
      <c r="O419" s="31"/>
      <c r="P419" s="28" t="s">
        <v>100</v>
      </c>
      <c r="Q419" s="33">
        <v>1</v>
      </c>
      <c r="R419" s="33">
        <v>3.61731481481482</v>
      </c>
      <c r="S419" s="33">
        <v>6.0422106481481501</v>
      </c>
      <c r="T419" s="33">
        <v>0</v>
      </c>
      <c r="U419" s="33">
        <v>1</v>
      </c>
      <c r="V419" s="33">
        <v>3.6164467592592602</v>
      </c>
      <c r="W419" s="33">
        <v>56</v>
      </c>
      <c r="X419" s="33">
        <v>4</v>
      </c>
      <c r="Y419" s="33">
        <v>4</v>
      </c>
      <c r="Z419" s="33">
        <v>0</v>
      </c>
      <c r="AA419" s="33">
        <v>1</v>
      </c>
      <c r="AC419" s="29"/>
    </row>
    <row r="420" spans="1:29" x14ac:dyDescent="0.25">
      <c r="A420" s="27" t="s">
        <v>715</v>
      </c>
      <c r="B420" s="27" t="s">
        <v>14</v>
      </c>
      <c r="C420" s="27" t="s">
        <v>16</v>
      </c>
      <c r="D420" s="27" t="s">
        <v>154</v>
      </c>
      <c r="E420" s="27" t="s">
        <v>21</v>
      </c>
      <c r="F420" s="27" t="s">
        <v>506</v>
      </c>
      <c r="G420" s="27" t="s">
        <v>511</v>
      </c>
      <c r="H420" s="27" t="s">
        <v>513</v>
      </c>
      <c r="I420" s="27" t="s">
        <v>516</v>
      </c>
      <c r="J420" s="27" t="s">
        <v>516</v>
      </c>
      <c r="K420" s="27" t="s">
        <v>529</v>
      </c>
      <c r="L420" s="27" t="s">
        <v>539</v>
      </c>
      <c r="M420" s="30">
        <v>42704</v>
      </c>
      <c r="N420" s="30"/>
      <c r="O420" s="30"/>
      <c r="P420" s="27" t="s">
        <v>104</v>
      </c>
      <c r="Q420" s="32">
        <v>1</v>
      </c>
      <c r="R420" s="32">
        <v>8.1849884259259298</v>
      </c>
      <c r="S420" s="32">
        <v>8.1855787037036993</v>
      </c>
      <c r="T420" s="32">
        <v>0</v>
      </c>
      <c r="U420" s="32">
        <v>1</v>
      </c>
      <c r="V420" s="32">
        <v>8.1804513888888906</v>
      </c>
      <c r="W420" s="32">
        <v>28</v>
      </c>
      <c r="X420" s="32">
        <v>9.5</v>
      </c>
      <c r="Y420" s="32">
        <v>9.5</v>
      </c>
      <c r="Z420" s="32">
        <v>0</v>
      </c>
      <c r="AA420" s="32">
        <v>1</v>
      </c>
      <c r="AC420" s="29"/>
    </row>
    <row r="421" spans="1:29" x14ac:dyDescent="0.25">
      <c r="A421" s="28" t="s">
        <v>716</v>
      </c>
      <c r="B421" s="28" t="s">
        <v>14</v>
      </c>
      <c r="C421" s="28" t="s">
        <v>16</v>
      </c>
      <c r="D421" s="28" t="s">
        <v>154</v>
      </c>
      <c r="E421" s="28" t="s">
        <v>21</v>
      </c>
      <c r="F421" s="28" t="s">
        <v>506</v>
      </c>
      <c r="G421" s="28" t="s">
        <v>511</v>
      </c>
      <c r="H421" s="28" t="s">
        <v>513</v>
      </c>
      <c r="I421" s="28" t="s">
        <v>516</v>
      </c>
      <c r="J421" s="28" t="s">
        <v>516</v>
      </c>
      <c r="K421" s="28" t="s">
        <v>529</v>
      </c>
      <c r="L421" s="28" t="s">
        <v>539</v>
      </c>
      <c r="M421" s="31">
        <v>42705</v>
      </c>
      <c r="N421" s="31"/>
      <c r="O421" s="31"/>
      <c r="P421" s="28" t="s">
        <v>114</v>
      </c>
      <c r="Q421" s="33">
        <v>1</v>
      </c>
      <c r="R421" s="33">
        <v>1.64413194444444</v>
      </c>
      <c r="S421" s="33">
        <v>1.6468171296296299</v>
      </c>
      <c r="T421" s="33">
        <v>0</v>
      </c>
      <c r="U421" s="33">
        <v>1</v>
      </c>
      <c r="V421" s="33">
        <v>1.6418287037037</v>
      </c>
      <c r="W421" s="33">
        <v>28</v>
      </c>
      <c r="X421" s="33">
        <v>11.5</v>
      </c>
      <c r="Y421" s="33">
        <v>11.5</v>
      </c>
      <c r="Z421" s="33">
        <v>0</v>
      </c>
      <c r="AA421" s="33">
        <v>1</v>
      </c>
      <c r="AC421" s="29"/>
    </row>
    <row r="422" spans="1:29" x14ac:dyDescent="0.25">
      <c r="A422" s="27" t="s">
        <v>717</v>
      </c>
      <c r="B422" s="27" t="s">
        <v>719</v>
      </c>
      <c r="C422" s="27" t="s">
        <v>17</v>
      </c>
      <c r="D422" s="27" t="s">
        <v>154</v>
      </c>
      <c r="E422" s="27" t="s">
        <v>21</v>
      </c>
      <c r="F422" s="27" t="s">
        <v>506</v>
      </c>
      <c r="G422" s="27" t="s">
        <v>702</v>
      </c>
      <c r="H422" s="27" t="s">
        <v>513</v>
      </c>
      <c r="I422" s="27" t="s">
        <v>518</v>
      </c>
      <c r="J422" s="27" t="s">
        <v>720</v>
      </c>
      <c r="K422" s="27" t="s">
        <v>529</v>
      </c>
      <c r="L422" s="27" t="s">
        <v>541</v>
      </c>
      <c r="M422" s="30">
        <v>42705</v>
      </c>
      <c r="N422" s="30">
        <v>42705</v>
      </c>
      <c r="O422" s="30">
        <v>42705</v>
      </c>
      <c r="P422" s="27" t="s">
        <v>516</v>
      </c>
      <c r="Q422" s="32">
        <v>1</v>
      </c>
      <c r="R422" s="32">
        <v>0.448888888888889</v>
      </c>
      <c r="S422" s="32">
        <v>0.448888888888889</v>
      </c>
      <c r="T422" s="32">
        <v>0</v>
      </c>
      <c r="U422" s="32">
        <v>1</v>
      </c>
      <c r="V422" s="32">
        <v>0.448888888888889</v>
      </c>
      <c r="W422" s="32">
        <v>3</v>
      </c>
      <c r="X422" s="32">
        <v>0</v>
      </c>
      <c r="Y422" s="32">
        <v>0</v>
      </c>
      <c r="Z422" s="32">
        <v>0</v>
      </c>
      <c r="AA422" s="32">
        <v>1</v>
      </c>
      <c r="AC422" s="29"/>
    </row>
    <row r="423" spans="1:29" x14ac:dyDescent="0.25">
      <c r="A423" s="28" t="s">
        <v>718</v>
      </c>
      <c r="B423" s="28" t="s">
        <v>14</v>
      </c>
      <c r="C423" s="28" t="s">
        <v>17</v>
      </c>
      <c r="D423" s="28" t="s">
        <v>154</v>
      </c>
      <c r="E423" s="28" t="s">
        <v>21</v>
      </c>
      <c r="F423" s="28" t="s">
        <v>506</v>
      </c>
      <c r="G423" s="28" t="s">
        <v>511</v>
      </c>
      <c r="H423" s="28" t="s">
        <v>513</v>
      </c>
      <c r="I423" s="28" t="s">
        <v>517</v>
      </c>
      <c r="J423" s="28" t="s">
        <v>523</v>
      </c>
      <c r="K423" s="28" t="s">
        <v>529</v>
      </c>
      <c r="L423" s="28" t="s">
        <v>539</v>
      </c>
      <c r="M423" s="31">
        <v>42705</v>
      </c>
      <c r="N423" s="31">
        <v>42705</v>
      </c>
      <c r="O423" s="31">
        <v>42705</v>
      </c>
      <c r="P423" s="28" t="s">
        <v>105</v>
      </c>
      <c r="Q423" s="33">
        <v>1</v>
      </c>
      <c r="R423" s="33">
        <v>0.114803240740741</v>
      </c>
      <c r="S423" s="33">
        <v>0.114976851851852</v>
      </c>
      <c r="T423" s="33">
        <v>1</v>
      </c>
      <c r="U423" s="33">
        <v>1</v>
      </c>
      <c r="V423" s="33">
        <v>0.112696759259259</v>
      </c>
      <c r="W423" s="33">
        <v>3</v>
      </c>
      <c r="X423" s="33">
        <v>15</v>
      </c>
      <c r="Y423" s="33">
        <v>12</v>
      </c>
      <c r="Z423" s="33">
        <v>3</v>
      </c>
      <c r="AA423" s="33">
        <v>1</v>
      </c>
      <c r="AC423" s="29"/>
    </row>
    <row r="424" spans="1:29" x14ac:dyDescent="0.25">
      <c r="A424" s="27" t="s">
        <v>722</v>
      </c>
      <c r="B424" s="27" t="s">
        <v>14</v>
      </c>
      <c r="C424" s="27" t="s">
        <v>13</v>
      </c>
      <c r="D424" s="27" t="s">
        <v>154</v>
      </c>
      <c r="E424" s="27" t="s">
        <v>21</v>
      </c>
      <c r="F424" s="27" t="s">
        <v>505</v>
      </c>
      <c r="G424" s="27" t="s">
        <v>512</v>
      </c>
      <c r="H424" s="27" t="s">
        <v>513</v>
      </c>
      <c r="I424" s="27" t="s">
        <v>517</v>
      </c>
      <c r="J424" s="27" t="s">
        <v>522</v>
      </c>
      <c r="K424" s="27" t="s">
        <v>529</v>
      </c>
      <c r="L424" s="27" t="s">
        <v>680</v>
      </c>
      <c r="M424" s="30">
        <v>42710</v>
      </c>
      <c r="N424" s="30">
        <v>42711</v>
      </c>
      <c r="O424" s="30"/>
      <c r="P424" s="27" t="s">
        <v>516</v>
      </c>
      <c r="Q424" s="32">
        <v>1</v>
      </c>
      <c r="R424" s="32">
        <v>5.1696527777777801</v>
      </c>
      <c r="S424" s="32">
        <v>5.1696527777777801</v>
      </c>
      <c r="T424" s="32">
        <v>0</v>
      </c>
      <c r="U424" s="32">
        <v>0</v>
      </c>
      <c r="V424" s="32">
        <v>0</v>
      </c>
      <c r="W424" s="32">
        <v>56</v>
      </c>
      <c r="X424" s="32">
        <v>17</v>
      </c>
      <c r="Y424" s="32">
        <v>1</v>
      </c>
      <c r="Z424" s="32">
        <v>16</v>
      </c>
      <c r="AA424" s="32">
        <v>0</v>
      </c>
      <c r="AC424" s="29"/>
    </row>
    <row r="425" spans="1:29" x14ac:dyDescent="0.25">
      <c r="A425" s="28" t="s">
        <v>723</v>
      </c>
      <c r="B425" s="28" t="s">
        <v>14</v>
      </c>
      <c r="C425" s="28" t="s">
        <v>16</v>
      </c>
      <c r="D425" s="28" t="s">
        <v>154</v>
      </c>
      <c r="E425" s="28" t="s">
        <v>21</v>
      </c>
      <c r="F425" s="28" t="s">
        <v>506</v>
      </c>
      <c r="G425" s="28" t="s">
        <v>511</v>
      </c>
      <c r="H425" s="28" t="s">
        <v>513</v>
      </c>
      <c r="I425" s="28" t="s">
        <v>516</v>
      </c>
      <c r="J425" s="28" t="s">
        <v>516</v>
      </c>
      <c r="K425" s="28" t="s">
        <v>529</v>
      </c>
      <c r="L425" s="28" t="s">
        <v>541</v>
      </c>
      <c r="M425" s="31">
        <v>42711</v>
      </c>
      <c r="N425" s="31"/>
      <c r="O425" s="31"/>
      <c r="P425" s="28" t="s">
        <v>516</v>
      </c>
      <c r="Q425" s="33">
        <v>1</v>
      </c>
      <c r="R425" s="33">
        <v>4.2637615740740697</v>
      </c>
      <c r="S425" s="33">
        <v>4.2637615740740697</v>
      </c>
      <c r="T425" s="33">
        <v>0</v>
      </c>
      <c r="U425" s="33">
        <v>0</v>
      </c>
      <c r="V425" s="33">
        <v>0</v>
      </c>
      <c r="W425" s="33">
        <v>28</v>
      </c>
      <c r="X425" s="33">
        <v>4</v>
      </c>
      <c r="Y425" s="33">
        <v>4</v>
      </c>
      <c r="Z425" s="33">
        <v>0</v>
      </c>
      <c r="AA425" s="33">
        <v>0</v>
      </c>
      <c r="AC425" s="29"/>
    </row>
    <row r="426" spans="1:29" x14ac:dyDescent="0.25">
      <c r="A426" s="27" t="s">
        <v>724</v>
      </c>
      <c r="B426" s="27" t="s">
        <v>14</v>
      </c>
      <c r="C426" s="27" t="s">
        <v>13</v>
      </c>
      <c r="D426" s="27" t="s">
        <v>154</v>
      </c>
      <c r="E426" s="27" t="s">
        <v>21</v>
      </c>
      <c r="F426" s="27" t="s">
        <v>505</v>
      </c>
      <c r="G426" s="27" t="s">
        <v>156</v>
      </c>
      <c r="H426" s="27" t="s">
        <v>513</v>
      </c>
      <c r="I426" s="27" t="s">
        <v>516</v>
      </c>
      <c r="J426" s="27" t="s">
        <v>516</v>
      </c>
      <c r="K426" s="27" t="s">
        <v>529</v>
      </c>
      <c r="L426" s="27" t="s">
        <v>539</v>
      </c>
      <c r="M426" s="30">
        <v>42711</v>
      </c>
      <c r="N426" s="30"/>
      <c r="O426" s="30"/>
      <c r="P426" s="27" t="s">
        <v>102</v>
      </c>
      <c r="Q426" s="32">
        <v>1</v>
      </c>
      <c r="R426" s="32">
        <v>0.97422453703703704</v>
      </c>
      <c r="S426" s="32">
        <v>0.97438657407407403</v>
      </c>
      <c r="T426" s="32">
        <v>0</v>
      </c>
      <c r="U426" s="32">
        <v>1</v>
      </c>
      <c r="V426" s="32">
        <v>0.94050925925925899</v>
      </c>
      <c r="W426" s="32">
        <v>56</v>
      </c>
      <c r="X426" s="32">
        <v>5</v>
      </c>
      <c r="Y426" s="32">
        <v>5</v>
      </c>
      <c r="Z426" s="32">
        <v>0</v>
      </c>
      <c r="AA426" s="32">
        <v>1</v>
      </c>
      <c r="AC426" s="29"/>
    </row>
    <row r="427" spans="1:29" x14ac:dyDescent="0.25">
      <c r="A427" s="28" t="s">
        <v>725</v>
      </c>
      <c r="B427" s="28" t="s">
        <v>14</v>
      </c>
      <c r="C427" s="28" t="s">
        <v>17</v>
      </c>
      <c r="D427" s="28" t="s">
        <v>154</v>
      </c>
      <c r="E427" s="28" t="s">
        <v>21</v>
      </c>
      <c r="F427" s="28" t="s">
        <v>506</v>
      </c>
      <c r="G427" s="28" t="s">
        <v>702</v>
      </c>
      <c r="H427" s="28" t="s">
        <v>513</v>
      </c>
      <c r="I427" s="28" t="s">
        <v>518</v>
      </c>
      <c r="J427" s="28" t="s">
        <v>520</v>
      </c>
      <c r="K427" s="28" t="s">
        <v>529</v>
      </c>
      <c r="L427" s="28" t="s">
        <v>539</v>
      </c>
      <c r="M427" s="31">
        <v>42713</v>
      </c>
      <c r="N427" s="31">
        <v>42713</v>
      </c>
      <c r="O427" s="31">
        <v>42713</v>
      </c>
      <c r="P427" s="28" t="s">
        <v>102</v>
      </c>
      <c r="Q427" s="33">
        <v>1</v>
      </c>
      <c r="R427" s="33">
        <v>8.4849537037037001E-2</v>
      </c>
      <c r="S427" s="33">
        <v>8.4976851851851803E-2</v>
      </c>
      <c r="T427" s="33">
        <v>1</v>
      </c>
      <c r="U427" s="33">
        <v>1</v>
      </c>
      <c r="V427" s="33">
        <v>8.3634259259259297E-2</v>
      </c>
      <c r="W427" s="33">
        <v>3</v>
      </c>
      <c r="X427" s="33">
        <v>5.5</v>
      </c>
      <c r="Y427" s="33">
        <v>1.5</v>
      </c>
      <c r="Z427" s="33">
        <v>4</v>
      </c>
      <c r="AA427" s="33">
        <v>1</v>
      </c>
      <c r="AB427" s="39"/>
      <c r="AC427" s="29"/>
    </row>
    <row r="428" spans="1:29" x14ac:dyDescent="0.25">
      <c r="A428" s="27" t="s">
        <v>726</v>
      </c>
      <c r="B428" s="27" t="s">
        <v>14</v>
      </c>
      <c r="C428" s="27" t="s">
        <v>16</v>
      </c>
      <c r="D428" s="27" t="s">
        <v>154</v>
      </c>
      <c r="E428" s="27" t="s">
        <v>21</v>
      </c>
      <c r="F428" s="27" t="s">
        <v>506</v>
      </c>
      <c r="G428" s="27" t="s">
        <v>702</v>
      </c>
      <c r="H428" s="27" t="s">
        <v>513</v>
      </c>
      <c r="I428" s="27" t="s">
        <v>517</v>
      </c>
      <c r="J428" s="27" t="s">
        <v>520</v>
      </c>
      <c r="K428" s="27" t="s">
        <v>529</v>
      </c>
      <c r="L428" s="27" t="s">
        <v>680</v>
      </c>
      <c r="M428" s="30">
        <v>42713</v>
      </c>
      <c r="N428" s="30">
        <v>42713</v>
      </c>
      <c r="O428" s="30"/>
      <c r="P428" s="27" t="s">
        <v>516</v>
      </c>
      <c r="Q428" s="32">
        <v>1</v>
      </c>
      <c r="R428" s="32">
        <v>2.92743055555556</v>
      </c>
      <c r="S428" s="32">
        <v>2.92743055555556</v>
      </c>
      <c r="T428" s="32">
        <v>0</v>
      </c>
      <c r="U428" s="32">
        <v>0</v>
      </c>
      <c r="V428" s="32">
        <v>0</v>
      </c>
      <c r="W428" s="32">
        <v>28</v>
      </c>
      <c r="X428" s="32">
        <v>5</v>
      </c>
      <c r="Y428" s="32">
        <v>5</v>
      </c>
      <c r="Z428" s="32">
        <v>0</v>
      </c>
      <c r="AA428" s="32">
        <v>0</v>
      </c>
      <c r="AB428" s="39"/>
      <c r="AC428" s="29"/>
    </row>
    <row r="429" spans="1:29" x14ac:dyDescent="0.25">
      <c r="A429" s="28" t="s">
        <v>727</v>
      </c>
      <c r="B429" s="28" t="s">
        <v>19</v>
      </c>
      <c r="C429" s="28" t="s">
        <v>13</v>
      </c>
      <c r="D429" s="28" t="s">
        <v>154</v>
      </c>
      <c r="E429" s="28" t="s">
        <v>21</v>
      </c>
      <c r="F429" s="28" t="s">
        <v>505</v>
      </c>
      <c r="G429" s="28" t="s">
        <v>679</v>
      </c>
      <c r="H429" s="28" t="s">
        <v>513</v>
      </c>
      <c r="I429" s="28" t="s">
        <v>517</v>
      </c>
      <c r="J429" s="28" t="s">
        <v>520</v>
      </c>
      <c r="K429" s="28" t="s">
        <v>529</v>
      </c>
      <c r="L429" s="28" t="s">
        <v>680</v>
      </c>
      <c r="M429" s="31">
        <v>42713</v>
      </c>
      <c r="N429" s="31">
        <v>42713</v>
      </c>
      <c r="O429" s="31"/>
      <c r="P429" s="28" t="s">
        <v>516</v>
      </c>
      <c r="Q429" s="33">
        <v>1</v>
      </c>
      <c r="R429" s="33">
        <v>2.64511574074074</v>
      </c>
      <c r="S429" s="33">
        <v>2.64511574074074</v>
      </c>
      <c r="T429" s="33">
        <v>0</v>
      </c>
      <c r="U429" s="33">
        <v>0</v>
      </c>
      <c r="V429" s="33">
        <v>0</v>
      </c>
      <c r="W429" s="33">
        <v>56</v>
      </c>
      <c r="X429" s="33">
        <v>1</v>
      </c>
      <c r="Y429" s="33">
        <v>1</v>
      </c>
      <c r="Z429" s="33">
        <v>0</v>
      </c>
      <c r="AA429" s="33">
        <v>0</v>
      </c>
      <c r="AB429" s="39"/>
      <c r="AC429" s="29"/>
    </row>
    <row r="430" spans="1:29" x14ac:dyDescent="0.25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39"/>
      <c r="AC430" s="29"/>
    </row>
    <row r="431" spans="1:29" x14ac:dyDescent="0.25">
      <c r="AB431" s="39"/>
    </row>
    <row r="432" spans="1:29" x14ac:dyDescent="0.25">
      <c r="AB432" s="39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0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N3" sqref="N3"/>
    </sheetView>
  </sheetViews>
  <sheetFormatPr defaultRowHeight="15" x14ac:dyDescent="0.25"/>
  <cols>
    <col min="1" max="1" width="7.28515625" style="6" customWidth="1"/>
    <col min="2" max="2" width="15.7109375" style="6" customWidth="1"/>
    <col min="3" max="14" width="7.7109375" style="6" customWidth="1"/>
  </cols>
  <sheetData>
    <row r="1" spans="1:15" x14ac:dyDescent="0.25">
      <c r="A1" s="10">
        <v>2016</v>
      </c>
      <c r="B1" s="10" t="s">
        <v>179</v>
      </c>
      <c r="C1" s="10" t="s">
        <v>158</v>
      </c>
      <c r="D1" s="10" t="s">
        <v>159</v>
      </c>
      <c r="E1" s="10" t="s">
        <v>160</v>
      </c>
      <c r="F1" s="10" t="s">
        <v>161</v>
      </c>
      <c r="G1" s="10" t="s">
        <v>134</v>
      </c>
      <c r="H1" s="10" t="s">
        <v>162</v>
      </c>
      <c r="I1" s="10" t="s">
        <v>163</v>
      </c>
      <c r="J1" s="10" t="s">
        <v>164</v>
      </c>
      <c r="K1" s="10" t="s">
        <v>165</v>
      </c>
      <c r="L1" s="10" t="s">
        <v>166</v>
      </c>
      <c r="M1" s="10" t="s">
        <v>167</v>
      </c>
      <c r="N1" s="10" t="s">
        <v>168</v>
      </c>
      <c r="O1" s="38" t="s">
        <v>641</v>
      </c>
    </row>
    <row r="2" spans="1:15" x14ac:dyDescent="0.25">
      <c r="A2" s="6" t="s">
        <v>175</v>
      </c>
      <c r="B2" s="7" t="s">
        <v>180</v>
      </c>
      <c r="C2" s="7">
        <v>9</v>
      </c>
      <c r="D2" s="7">
        <v>25</v>
      </c>
      <c r="E2" s="7">
        <v>28</v>
      </c>
      <c r="F2" s="7">
        <v>28</v>
      </c>
      <c r="G2" s="7">
        <v>21</v>
      </c>
      <c r="H2" s="7">
        <v>29</v>
      </c>
      <c r="I2" s="7">
        <v>19</v>
      </c>
      <c r="J2" s="7">
        <v>26</v>
      </c>
      <c r="K2" s="7">
        <v>24</v>
      </c>
      <c r="L2" s="7">
        <v>28</v>
      </c>
      <c r="M2" s="7">
        <v>19</v>
      </c>
      <c r="N2" s="7">
        <v>9</v>
      </c>
      <c r="O2" s="6">
        <f>SUM(C2:N2)</f>
        <v>265</v>
      </c>
    </row>
    <row r="3" spans="1:15" x14ac:dyDescent="0.25">
      <c r="B3" s="7" t="s">
        <v>169</v>
      </c>
      <c r="C3" s="7">
        <v>2</v>
      </c>
      <c r="D3" s="7">
        <v>7</v>
      </c>
      <c r="E3" s="7">
        <v>10</v>
      </c>
      <c r="F3" s="7">
        <v>12</v>
      </c>
      <c r="G3" s="7">
        <v>14</v>
      </c>
      <c r="H3" s="7">
        <v>8</v>
      </c>
      <c r="I3" s="7">
        <v>4</v>
      </c>
      <c r="J3" s="7">
        <v>5</v>
      </c>
      <c r="K3" s="7">
        <v>5</v>
      </c>
      <c r="L3" s="7">
        <v>3</v>
      </c>
      <c r="M3" s="7">
        <v>10</v>
      </c>
      <c r="N3" s="7">
        <v>6</v>
      </c>
      <c r="O3" s="6">
        <f t="shared" ref="O3:O17" si="0">SUM(C3:N3)</f>
        <v>86</v>
      </c>
    </row>
    <row r="4" spans="1:15" x14ac:dyDescent="0.25">
      <c r="B4" s="7" t="s">
        <v>173</v>
      </c>
      <c r="C4" s="7">
        <v>7</v>
      </c>
      <c r="D4" s="7">
        <v>1</v>
      </c>
      <c r="E4" s="7">
        <v>12</v>
      </c>
      <c r="F4" s="7">
        <v>11</v>
      </c>
      <c r="G4" s="7">
        <v>15</v>
      </c>
      <c r="H4" s="7">
        <v>8</v>
      </c>
      <c r="I4" s="7">
        <v>8</v>
      </c>
      <c r="J4" s="7">
        <v>4</v>
      </c>
      <c r="K4" s="7">
        <v>6</v>
      </c>
      <c r="L4" s="7">
        <v>2</v>
      </c>
      <c r="M4" s="7">
        <v>12</v>
      </c>
      <c r="N4" s="7">
        <v>3</v>
      </c>
      <c r="O4" s="6">
        <f t="shared" si="0"/>
        <v>89</v>
      </c>
    </row>
    <row r="5" spans="1:15" x14ac:dyDescent="0.25">
      <c r="B5" s="7" t="s">
        <v>172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3</v>
      </c>
      <c r="O5" s="6">
        <f t="shared" si="0"/>
        <v>3</v>
      </c>
    </row>
    <row r="6" spans="1:15" x14ac:dyDescent="0.25">
      <c r="B6" s="7" t="s">
        <v>170</v>
      </c>
      <c r="C6" s="7">
        <v>2</v>
      </c>
      <c r="D6" s="7">
        <v>3</v>
      </c>
      <c r="E6" s="7">
        <v>2</v>
      </c>
      <c r="F6" s="7">
        <v>4</v>
      </c>
      <c r="G6" s="7">
        <v>3</v>
      </c>
      <c r="H6" s="7">
        <v>4</v>
      </c>
      <c r="I6" s="7">
        <v>3</v>
      </c>
      <c r="J6" s="7">
        <v>2</v>
      </c>
      <c r="K6" s="7">
        <v>4</v>
      </c>
      <c r="L6" s="7">
        <v>2</v>
      </c>
      <c r="M6" s="7">
        <v>10</v>
      </c>
      <c r="N6" s="7">
        <v>4</v>
      </c>
      <c r="O6" s="6">
        <f t="shared" si="0"/>
        <v>43</v>
      </c>
    </row>
    <row r="7" spans="1:15" x14ac:dyDescent="0.25">
      <c r="B7" s="7" t="s">
        <v>171</v>
      </c>
      <c r="C7" s="7">
        <v>0</v>
      </c>
      <c r="D7" s="7">
        <v>4</v>
      </c>
      <c r="E7" s="7">
        <v>8</v>
      </c>
      <c r="F7" s="7">
        <v>8</v>
      </c>
      <c r="G7" s="7">
        <v>11</v>
      </c>
      <c r="H7" s="7">
        <v>4</v>
      </c>
      <c r="I7" s="7">
        <v>1</v>
      </c>
      <c r="J7" s="7">
        <v>3</v>
      </c>
      <c r="K7" s="7">
        <v>1</v>
      </c>
      <c r="L7" s="7">
        <v>1</v>
      </c>
      <c r="M7" s="7">
        <v>0</v>
      </c>
      <c r="N7" s="7">
        <v>2</v>
      </c>
      <c r="O7" s="6">
        <f t="shared" si="0"/>
        <v>43</v>
      </c>
    </row>
    <row r="8" spans="1:15" x14ac:dyDescent="0.25">
      <c r="A8" s="6" t="s">
        <v>176</v>
      </c>
      <c r="B8" s="7" t="s">
        <v>181</v>
      </c>
      <c r="C8" s="7">
        <v>0</v>
      </c>
      <c r="D8" s="7">
        <v>5</v>
      </c>
      <c r="E8" s="7">
        <v>0</v>
      </c>
      <c r="F8" s="7">
        <v>1</v>
      </c>
      <c r="G8" s="7">
        <v>1</v>
      </c>
      <c r="H8" s="7">
        <v>0</v>
      </c>
      <c r="I8" s="7">
        <v>0</v>
      </c>
      <c r="J8" s="7">
        <v>0</v>
      </c>
      <c r="K8" s="7">
        <v>1</v>
      </c>
      <c r="L8" s="7">
        <v>1</v>
      </c>
      <c r="M8" s="7">
        <v>0</v>
      </c>
      <c r="N8" s="7">
        <v>0</v>
      </c>
      <c r="O8" s="6">
        <f t="shared" si="0"/>
        <v>9</v>
      </c>
    </row>
    <row r="9" spans="1:15" x14ac:dyDescent="0.25">
      <c r="B9" s="7" t="s">
        <v>182</v>
      </c>
      <c r="C9" s="7">
        <v>1</v>
      </c>
      <c r="D9" s="7">
        <v>2</v>
      </c>
      <c r="E9" s="7">
        <v>8</v>
      </c>
      <c r="F9" s="7">
        <v>9</v>
      </c>
      <c r="G9" s="7">
        <v>11</v>
      </c>
      <c r="H9" s="7">
        <v>5</v>
      </c>
      <c r="I9" s="7">
        <v>3</v>
      </c>
      <c r="J9" s="7">
        <v>5</v>
      </c>
      <c r="K9" s="7">
        <v>3</v>
      </c>
      <c r="L9" s="7">
        <v>2</v>
      </c>
      <c r="M9" s="7">
        <v>7</v>
      </c>
      <c r="N9" s="7">
        <v>2</v>
      </c>
      <c r="O9" s="6">
        <f t="shared" si="0"/>
        <v>58</v>
      </c>
    </row>
    <row r="10" spans="1:15" x14ac:dyDescent="0.25">
      <c r="B10" s="7" t="s">
        <v>183</v>
      </c>
      <c r="C10" s="7">
        <v>1</v>
      </c>
      <c r="D10" s="7">
        <v>0</v>
      </c>
      <c r="E10" s="7">
        <v>2</v>
      </c>
      <c r="F10" s="7">
        <v>2</v>
      </c>
      <c r="G10" s="7">
        <v>1</v>
      </c>
      <c r="H10" s="7">
        <v>2</v>
      </c>
      <c r="I10" s="7">
        <v>1</v>
      </c>
      <c r="J10" s="7">
        <v>0</v>
      </c>
      <c r="K10" s="7">
        <v>0</v>
      </c>
      <c r="L10" s="7">
        <v>0</v>
      </c>
      <c r="M10" s="7">
        <v>2</v>
      </c>
      <c r="N10" s="7">
        <v>1</v>
      </c>
      <c r="O10" s="6">
        <f t="shared" si="0"/>
        <v>12</v>
      </c>
    </row>
    <row r="11" spans="1:15" x14ac:dyDescent="0.25">
      <c r="B11" s="7" t="s">
        <v>184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6">
        <f t="shared" si="0"/>
        <v>0</v>
      </c>
    </row>
    <row r="12" spans="1:15" x14ac:dyDescent="0.25">
      <c r="B12" s="7" t="s">
        <v>185</v>
      </c>
      <c r="C12" s="7">
        <v>0</v>
      </c>
      <c r="D12" s="7">
        <v>0</v>
      </c>
      <c r="E12" s="7">
        <v>0</v>
      </c>
      <c r="F12" s="7">
        <v>0</v>
      </c>
      <c r="G12" s="7">
        <v>1</v>
      </c>
      <c r="H12" s="7">
        <v>1</v>
      </c>
      <c r="I12" s="7">
        <v>0</v>
      </c>
      <c r="J12" s="7">
        <v>0</v>
      </c>
      <c r="K12" s="7">
        <v>1</v>
      </c>
      <c r="L12" s="7">
        <v>0</v>
      </c>
      <c r="M12" s="7">
        <v>1</v>
      </c>
      <c r="N12" s="7">
        <v>3</v>
      </c>
      <c r="O12" s="6">
        <f t="shared" si="0"/>
        <v>7</v>
      </c>
    </row>
    <row r="13" spans="1:15" x14ac:dyDescent="0.25">
      <c r="A13" s="6" t="s">
        <v>177</v>
      </c>
      <c r="B13" s="7" t="s">
        <v>186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6">
        <f t="shared" si="0"/>
        <v>0</v>
      </c>
    </row>
    <row r="14" spans="1:15" x14ac:dyDescent="0.25">
      <c r="B14" s="7" t="s">
        <v>187</v>
      </c>
      <c r="C14" s="7">
        <v>0</v>
      </c>
      <c r="D14" s="7">
        <v>1</v>
      </c>
      <c r="E14" s="7">
        <v>0</v>
      </c>
      <c r="F14" s="7">
        <v>1</v>
      </c>
      <c r="G14" s="7">
        <v>5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6">
        <f t="shared" si="0"/>
        <v>7</v>
      </c>
    </row>
    <row r="15" spans="1:15" x14ac:dyDescent="0.25">
      <c r="B15" s="7" t="s">
        <v>188</v>
      </c>
      <c r="C15" s="7">
        <v>2</v>
      </c>
      <c r="D15" s="7">
        <v>6</v>
      </c>
      <c r="E15" s="7">
        <v>5</v>
      </c>
      <c r="F15" s="7">
        <v>3</v>
      </c>
      <c r="G15" s="7">
        <v>7</v>
      </c>
      <c r="H15" s="7">
        <v>4</v>
      </c>
      <c r="I15" s="7">
        <v>1</v>
      </c>
      <c r="J15" s="7">
        <v>3</v>
      </c>
      <c r="K15" s="7">
        <v>4</v>
      </c>
      <c r="L15" s="7">
        <v>1</v>
      </c>
      <c r="M15" s="7">
        <v>6</v>
      </c>
      <c r="N15" s="7">
        <v>4</v>
      </c>
      <c r="O15" s="6">
        <f t="shared" si="0"/>
        <v>46</v>
      </c>
    </row>
    <row r="16" spans="1:15" x14ac:dyDescent="0.25">
      <c r="B16" s="7" t="s">
        <v>189</v>
      </c>
      <c r="C16" s="7">
        <v>0</v>
      </c>
      <c r="D16" s="7">
        <v>0</v>
      </c>
      <c r="E16" s="7">
        <v>5</v>
      </c>
      <c r="F16" s="7">
        <v>8</v>
      </c>
      <c r="G16" s="7">
        <v>2</v>
      </c>
      <c r="H16" s="7">
        <v>4</v>
      </c>
      <c r="I16" s="7">
        <v>2</v>
      </c>
      <c r="J16" s="7">
        <v>1</v>
      </c>
      <c r="K16" s="7">
        <v>1</v>
      </c>
      <c r="L16" s="7">
        <v>2</v>
      </c>
      <c r="M16" s="7">
        <v>4</v>
      </c>
      <c r="N16" s="7">
        <v>1</v>
      </c>
      <c r="O16" s="6">
        <f t="shared" si="0"/>
        <v>30</v>
      </c>
    </row>
    <row r="17" spans="2:15" x14ac:dyDescent="0.25">
      <c r="B17" s="12" t="s">
        <v>198</v>
      </c>
      <c r="C17" s="12">
        <v>4</v>
      </c>
      <c r="D17" s="12">
        <v>2</v>
      </c>
      <c r="E17" s="12">
        <v>6</v>
      </c>
      <c r="F17" s="12">
        <v>9</v>
      </c>
      <c r="G17" s="12">
        <v>3</v>
      </c>
      <c r="H17" s="12">
        <v>11</v>
      </c>
      <c r="I17" s="12">
        <v>4</v>
      </c>
      <c r="J17" s="12">
        <v>7</v>
      </c>
      <c r="K17" s="12">
        <v>3</v>
      </c>
      <c r="L17" s="12">
        <v>10</v>
      </c>
      <c r="M17" s="12">
        <v>5</v>
      </c>
      <c r="N17" s="12">
        <v>5</v>
      </c>
      <c r="O17" s="6">
        <f t="shared" si="0"/>
        <v>69</v>
      </c>
    </row>
    <row r="18" spans="2:15" x14ac:dyDescent="0.25">
      <c r="B18" s="9" t="s">
        <v>197</v>
      </c>
      <c r="C18" s="9">
        <f>C17</f>
        <v>4</v>
      </c>
      <c r="D18" s="9">
        <f>C18+D17</f>
        <v>6</v>
      </c>
      <c r="E18" s="9">
        <f t="shared" ref="E18:N18" si="1">D18+E17</f>
        <v>12</v>
      </c>
      <c r="F18" s="9">
        <f t="shared" si="1"/>
        <v>21</v>
      </c>
      <c r="G18" s="9">
        <f t="shared" si="1"/>
        <v>24</v>
      </c>
      <c r="H18" s="9">
        <f t="shared" si="1"/>
        <v>35</v>
      </c>
      <c r="I18" s="9">
        <f t="shared" si="1"/>
        <v>39</v>
      </c>
      <c r="J18" s="9">
        <f t="shared" si="1"/>
        <v>46</v>
      </c>
      <c r="K18" s="9">
        <f t="shared" si="1"/>
        <v>49</v>
      </c>
      <c r="L18" s="9">
        <f t="shared" si="1"/>
        <v>59</v>
      </c>
      <c r="M18" s="9">
        <f t="shared" si="1"/>
        <v>64</v>
      </c>
      <c r="N18" s="9">
        <f t="shared" si="1"/>
        <v>69</v>
      </c>
    </row>
    <row r="19" spans="2:15" x14ac:dyDescent="0.25">
      <c r="B19" s="9" t="s">
        <v>174</v>
      </c>
      <c r="C19" s="9">
        <f>C3</f>
        <v>2</v>
      </c>
      <c r="D19" s="9">
        <f t="shared" ref="D19:N19" si="2">C19+D3</f>
        <v>9</v>
      </c>
      <c r="E19" s="9">
        <f t="shared" si="2"/>
        <v>19</v>
      </c>
      <c r="F19" s="9">
        <f t="shared" si="2"/>
        <v>31</v>
      </c>
      <c r="G19" s="9">
        <f t="shared" si="2"/>
        <v>45</v>
      </c>
      <c r="H19" s="9">
        <f t="shared" si="2"/>
        <v>53</v>
      </c>
      <c r="I19" s="9">
        <f t="shared" si="2"/>
        <v>57</v>
      </c>
      <c r="J19" s="9">
        <f t="shared" si="2"/>
        <v>62</v>
      </c>
      <c r="K19" s="9">
        <f t="shared" si="2"/>
        <v>67</v>
      </c>
      <c r="L19" s="9">
        <f t="shared" si="2"/>
        <v>70</v>
      </c>
      <c r="M19" s="9">
        <f t="shared" si="2"/>
        <v>80</v>
      </c>
      <c r="N19" s="9">
        <f t="shared" si="2"/>
        <v>86</v>
      </c>
    </row>
    <row r="20" spans="2:15" x14ac:dyDescent="0.25">
      <c r="B20" s="9" t="s">
        <v>178</v>
      </c>
      <c r="C20" s="9">
        <v>8</v>
      </c>
      <c r="D20" s="9">
        <f>8+C20</f>
        <v>16</v>
      </c>
      <c r="E20" s="9">
        <f t="shared" ref="E20:J20" si="3">8+D20</f>
        <v>24</v>
      </c>
      <c r="F20" s="9">
        <f t="shared" si="3"/>
        <v>32</v>
      </c>
      <c r="G20" s="9">
        <f t="shared" si="3"/>
        <v>40</v>
      </c>
      <c r="H20" s="9">
        <f t="shared" si="3"/>
        <v>48</v>
      </c>
      <c r="I20" s="9">
        <f t="shared" si="3"/>
        <v>56</v>
      </c>
      <c r="J20" s="9">
        <f t="shared" si="3"/>
        <v>64</v>
      </c>
      <c r="K20" s="9">
        <f>9+J20</f>
        <v>73</v>
      </c>
      <c r="L20" s="9">
        <f t="shared" ref="L20:N20" si="4">9+K20</f>
        <v>82</v>
      </c>
      <c r="M20" s="9">
        <f t="shared" si="4"/>
        <v>91</v>
      </c>
      <c r="N20" s="9">
        <f t="shared" si="4"/>
        <v>100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20"/>
  <sheetViews>
    <sheetView workbookViewId="0">
      <selection activeCell="G15" sqref="G15"/>
    </sheetView>
  </sheetViews>
  <sheetFormatPr defaultRowHeight="15" x14ac:dyDescent="0.25"/>
  <sheetData>
    <row r="1" spans="1:15" x14ac:dyDescent="0.25">
      <c r="A1" s="10">
        <v>2016</v>
      </c>
      <c r="B1" s="10" t="s">
        <v>179</v>
      </c>
      <c r="C1" s="10" t="s">
        <v>158</v>
      </c>
      <c r="D1" s="10" t="s">
        <v>159</v>
      </c>
      <c r="E1" s="10" t="s">
        <v>160</v>
      </c>
      <c r="F1" s="10" t="s">
        <v>161</v>
      </c>
      <c r="G1" s="10" t="s">
        <v>134</v>
      </c>
      <c r="H1" s="10" t="s">
        <v>162</v>
      </c>
      <c r="I1" s="10" t="s">
        <v>163</v>
      </c>
      <c r="J1" s="10" t="s">
        <v>164</v>
      </c>
      <c r="K1" s="10" t="s">
        <v>165</v>
      </c>
      <c r="L1" s="10" t="s">
        <v>166</v>
      </c>
      <c r="M1" s="10" t="s">
        <v>167</v>
      </c>
      <c r="N1" s="10" t="s">
        <v>168</v>
      </c>
    </row>
    <row r="2" spans="1:15" x14ac:dyDescent="0.25">
      <c r="A2" s="6" t="s">
        <v>175</v>
      </c>
      <c r="B2" s="7" t="s">
        <v>180</v>
      </c>
      <c r="C2" s="7">
        <v>9</v>
      </c>
      <c r="D2" s="7">
        <v>25</v>
      </c>
      <c r="E2" s="7">
        <v>28</v>
      </c>
      <c r="F2" s="7">
        <v>28</v>
      </c>
      <c r="G2" s="7">
        <v>21</v>
      </c>
      <c r="H2" s="7">
        <v>12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14"/>
    </row>
    <row r="3" spans="1:15" x14ac:dyDescent="0.25">
      <c r="A3" s="6"/>
      <c r="B3" s="7" t="s">
        <v>169</v>
      </c>
      <c r="C3" s="7">
        <v>2</v>
      </c>
      <c r="D3" s="7">
        <v>7</v>
      </c>
      <c r="E3" s="7">
        <v>10</v>
      </c>
      <c r="F3" s="7">
        <v>12</v>
      </c>
      <c r="G3" s="7">
        <v>14</v>
      </c>
      <c r="H3" s="7">
        <v>5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</row>
    <row r="4" spans="1:15" x14ac:dyDescent="0.25">
      <c r="A4" s="6"/>
      <c r="B4" s="7" t="s">
        <v>173</v>
      </c>
      <c r="C4" s="7">
        <v>7</v>
      </c>
      <c r="D4" s="7">
        <v>1</v>
      </c>
      <c r="E4" s="7">
        <v>12</v>
      </c>
      <c r="F4" s="7">
        <v>11</v>
      </c>
      <c r="G4" s="7">
        <v>15</v>
      </c>
      <c r="H4" s="7">
        <v>3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</row>
    <row r="5" spans="1:15" x14ac:dyDescent="0.25">
      <c r="A5" s="6"/>
      <c r="B5" s="7" t="s">
        <v>172</v>
      </c>
      <c r="C5" s="7">
        <v>0</v>
      </c>
      <c r="D5" s="7">
        <v>0</v>
      </c>
      <c r="E5" s="7">
        <v>0</v>
      </c>
      <c r="F5" s="7">
        <v>1</v>
      </c>
      <c r="G5" s="7">
        <v>2</v>
      </c>
      <c r="H5" s="7">
        <v>4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</row>
    <row r="6" spans="1:15" x14ac:dyDescent="0.25">
      <c r="A6" s="6"/>
      <c r="B6" s="7" t="s">
        <v>170</v>
      </c>
      <c r="C6" s="7">
        <v>2</v>
      </c>
      <c r="D6" s="7">
        <v>3</v>
      </c>
      <c r="E6" s="7">
        <v>2</v>
      </c>
      <c r="F6" s="7">
        <v>4</v>
      </c>
      <c r="G6" s="7">
        <v>3</v>
      </c>
      <c r="H6" s="7">
        <v>2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</row>
    <row r="7" spans="1:15" x14ac:dyDescent="0.25">
      <c r="A7" s="6"/>
      <c r="B7" s="7" t="s">
        <v>171</v>
      </c>
      <c r="C7" s="7">
        <v>0</v>
      </c>
      <c r="D7" s="7">
        <v>4</v>
      </c>
      <c r="E7" s="7">
        <v>8</v>
      </c>
      <c r="F7" s="7">
        <v>8</v>
      </c>
      <c r="G7" s="7">
        <v>11</v>
      </c>
      <c r="H7" s="7">
        <v>3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</row>
    <row r="8" spans="1:15" x14ac:dyDescent="0.25">
      <c r="A8" s="6" t="s">
        <v>176</v>
      </c>
      <c r="B8" s="7" t="s">
        <v>181</v>
      </c>
      <c r="C8" s="7">
        <v>0</v>
      </c>
      <c r="D8" s="7">
        <v>5</v>
      </c>
      <c r="E8" s="7">
        <v>0</v>
      </c>
      <c r="F8" s="7">
        <v>1</v>
      </c>
      <c r="G8" s="7">
        <v>1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</row>
    <row r="9" spans="1:15" x14ac:dyDescent="0.25">
      <c r="A9" s="6"/>
      <c r="B9" s="7" t="s">
        <v>182</v>
      </c>
      <c r="C9" s="7">
        <v>1</v>
      </c>
      <c r="D9" s="7">
        <v>2</v>
      </c>
      <c r="E9" s="7">
        <v>8</v>
      </c>
      <c r="F9" s="7">
        <v>9</v>
      </c>
      <c r="G9" s="7">
        <v>11</v>
      </c>
      <c r="H9" s="7">
        <v>3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</row>
    <row r="10" spans="1:15" x14ac:dyDescent="0.25">
      <c r="A10" s="6"/>
      <c r="B10" s="7" t="s">
        <v>183</v>
      </c>
      <c r="C10" s="7">
        <v>1</v>
      </c>
      <c r="D10" s="7">
        <v>0</v>
      </c>
      <c r="E10" s="7">
        <v>2</v>
      </c>
      <c r="F10" s="7">
        <v>2</v>
      </c>
      <c r="G10" s="7">
        <v>1</v>
      </c>
      <c r="H10" s="7">
        <v>1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</row>
    <row r="11" spans="1:15" x14ac:dyDescent="0.25">
      <c r="A11" s="6"/>
      <c r="B11" s="7" t="s">
        <v>184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</row>
    <row r="12" spans="1:15" x14ac:dyDescent="0.25">
      <c r="A12" s="6"/>
      <c r="B12" s="7" t="s">
        <v>185</v>
      </c>
      <c r="C12" s="7">
        <v>0</v>
      </c>
      <c r="D12" s="7">
        <v>0</v>
      </c>
      <c r="E12" s="7">
        <v>0</v>
      </c>
      <c r="F12" s="7">
        <v>0</v>
      </c>
      <c r="G12" s="7">
        <v>1</v>
      </c>
      <c r="H12" s="7">
        <v>1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</row>
    <row r="13" spans="1:15" x14ac:dyDescent="0.25">
      <c r="A13" s="6" t="s">
        <v>177</v>
      </c>
      <c r="B13" s="7" t="s">
        <v>186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</row>
    <row r="14" spans="1:15" x14ac:dyDescent="0.25">
      <c r="A14" s="6"/>
      <c r="B14" s="7" t="s">
        <v>187</v>
      </c>
      <c r="C14" s="7">
        <v>0</v>
      </c>
      <c r="D14" s="7">
        <v>1</v>
      </c>
      <c r="E14" s="7">
        <v>0</v>
      </c>
      <c r="F14" s="7">
        <v>1</v>
      </c>
      <c r="G14" s="7">
        <v>5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</row>
    <row r="15" spans="1:15" x14ac:dyDescent="0.25">
      <c r="A15" s="6"/>
      <c r="B15" s="7" t="s">
        <v>188</v>
      </c>
      <c r="C15" s="7">
        <v>2</v>
      </c>
      <c r="D15" s="7">
        <v>6</v>
      </c>
      <c r="E15" s="7">
        <v>5</v>
      </c>
      <c r="F15" s="7">
        <v>3</v>
      </c>
      <c r="G15" s="7">
        <v>7</v>
      </c>
      <c r="H15" s="7">
        <v>3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</row>
    <row r="16" spans="1:15" x14ac:dyDescent="0.25">
      <c r="A16" s="6"/>
      <c r="B16" s="7" t="s">
        <v>189</v>
      </c>
      <c r="C16" s="7">
        <v>0</v>
      </c>
      <c r="D16" s="7">
        <v>0</v>
      </c>
      <c r="E16" s="7">
        <v>5</v>
      </c>
      <c r="F16" s="7">
        <v>8</v>
      </c>
      <c r="G16" s="7">
        <v>2</v>
      </c>
      <c r="H16" s="7">
        <v>2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</row>
    <row r="17" spans="1:14" x14ac:dyDescent="0.25">
      <c r="A17" s="6"/>
      <c r="B17" s="12" t="s">
        <v>198</v>
      </c>
      <c r="C17" s="12">
        <v>4</v>
      </c>
      <c r="D17" s="12">
        <v>2</v>
      </c>
      <c r="E17" s="12">
        <v>6</v>
      </c>
      <c r="F17" s="12">
        <v>9</v>
      </c>
      <c r="G17" s="12">
        <v>3</v>
      </c>
      <c r="H17" s="12">
        <v>11</v>
      </c>
      <c r="I17" s="12">
        <v>4</v>
      </c>
      <c r="J17" s="12">
        <v>7</v>
      </c>
      <c r="K17" s="12">
        <v>3</v>
      </c>
      <c r="L17" s="12">
        <v>10</v>
      </c>
      <c r="M17" s="12">
        <v>5</v>
      </c>
      <c r="N17" s="12">
        <v>5</v>
      </c>
    </row>
    <row r="18" spans="1:14" x14ac:dyDescent="0.25">
      <c r="A18" s="6"/>
      <c r="B18" s="9" t="s">
        <v>197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</row>
    <row r="19" spans="1:14" x14ac:dyDescent="0.25">
      <c r="A19" s="6"/>
      <c r="B19" s="9" t="s">
        <v>174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</row>
    <row r="20" spans="1:14" x14ac:dyDescent="0.25">
      <c r="A20" s="6"/>
      <c r="B20" s="9" t="s">
        <v>178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LICK">
          <controlPr autoLine="0" r:id="rId4">
            <anchor moveWithCells="1">
              <from>
                <xdr:col>4</xdr:col>
                <xdr:colOff>228600</xdr:colOff>
                <xdr:row>21</xdr:row>
                <xdr:rowOff>28575</xdr:rowOff>
              </from>
              <to>
                <xdr:col>7</xdr:col>
                <xdr:colOff>533400</xdr:colOff>
                <xdr:row>25</xdr:row>
                <xdr:rowOff>38100</xdr:rowOff>
              </to>
            </anchor>
          </controlPr>
        </control>
      </mc:Choice>
      <mc:Fallback>
        <control shapeId="10241" r:id="rId3" name="CLI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2"/>
  <sheetViews>
    <sheetView workbookViewId="0">
      <selection activeCell="B25" sqref="B25"/>
    </sheetView>
  </sheetViews>
  <sheetFormatPr defaultRowHeight="15" x14ac:dyDescent="0.25"/>
  <cols>
    <col min="1" max="1" width="20.28515625" customWidth="1"/>
    <col min="2" max="2" width="40" customWidth="1"/>
    <col min="3" max="3" width="4.140625" customWidth="1"/>
    <col min="4" max="4" width="4.85546875" customWidth="1"/>
    <col min="5" max="5" width="4" customWidth="1"/>
    <col min="6" max="8" width="11.28515625" customWidth="1"/>
    <col min="9" max="9" width="4.42578125" customWidth="1"/>
    <col min="10" max="10" width="4.28515625" customWidth="1"/>
    <col min="11" max="11" width="4" customWidth="1"/>
    <col min="12" max="12" width="4.5703125" customWidth="1"/>
    <col min="13" max="13" width="4.28515625" customWidth="1"/>
    <col min="14" max="14" width="11.28515625" customWidth="1"/>
    <col min="15" max="15" width="6.85546875" customWidth="1"/>
    <col min="16" max="16" width="4.28515625" customWidth="1"/>
    <col min="17" max="17" width="4.5703125" customWidth="1"/>
    <col min="18" max="18" width="4.140625" customWidth="1"/>
    <col min="19" max="19" width="4.85546875" customWidth="1"/>
    <col min="20" max="20" width="4" customWidth="1"/>
    <col min="21" max="21" width="11.28515625" customWidth="1"/>
    <col min="22" max="22" width="4.140625" customWidth="1"/>
    <col min="23" max="23" width="4.85546875" customWidth="1"/>
    <col min="24" max="24" width="4" customWidth="1"/>
    <col min="25" max="25" width="11.28515625" customWidth="1"/>
    <col min="26" max="26" width="11.28515625" bestFit="1" customWidth="1"/>
    <col min="27" max="27" width="9.7109375" bestFit="1" customWidth="1"/>
    <col min="28" max="28" width="8.7109375" customWidth="1"/>
    <col min="29" max="29" width="9.7109375" bestFit="1" customWidth="1"/>
    <col min="30" max="30" width="8.7109375" customWidth="1"/>
    <col min="31" max="34" width="9.7109375" bestFit="1" customWidth="1"/>
    <col min="35" max="37" width="8.7109375" customWidth="1"/>
    <col min="38" max="44" width="9.7109375" bestFit="1" customWidth="1"/>
    <col min="45" max="45" width="8.7109375" customWidth="1"/>
    <col min="46" max="49" width="9.7109375" bestFit="1" customWidth="1"/>
    <col min="50" max="51" width="8.7109375" customWidth="1"/>
    <col min="52" max="60" width="9.7109375" bestFit="1" customWidth="1"/>
    <col min="61" max="62" width="8.7109375" customWidth="1"/>
    <col min="63" max="65" width="9.7109375" bestFit="1" customWidth="1"/>
    <col min="66" max="66" width="8.7109375" customWidth="1"/>
    <col min="67" max="72" width="9.7109375" bestFit="1" customWidth="1"/>
    <col min="73" max="74" width="8.7109375" customWidth="1"/>
    <col min="75" max="85" width="9.7109375" bestFit="1" customWidth="1"/>
    <col min="86" max="93" width="10.7109375" bestFit="1" customWidth="1"/>
    <col min="94" max="96" width="9.7109375" bestFit="1" customWidth="1"/>
    <col min="97" max="101" width="10.7109375" bestFit="1" customWidth="1"/>
    <col min="102" max="105" width="9.7109375" bestFit="1" customWidth="1"/>
    <col min="106" max="111" width="10.7109375" bestFit="1" customWidth="1"/>
    <col min="112" max="112" width="8.7109375" customWidth="1"/>
    <col min="113" max="117" width="9.7109375" bestFit="1" customWidth="1"/>
    <col min="118" max="120" width="8.7109375" customWidth="1"/>
    <col min="121" max="128" width="9.7109375" bestFit="1" customWidth="1"/>
    <col min="129" max="130" width="8.7109375" customWidth="1"/>
    <col min="131" max="140" width="9.7109375" bestFit="1" customWidth="1"/>
    <col min="141" max="144" width="8.7109375" customWidth="1"/>
    <col min="145" max="154" width="9.7109375" bestFit="1" customWidth="1"/>
    <col min="155" max="156" width="8.7109375" customWidth="1"/>
    <col min="157" max="167" width="9.7109375" bestFit="1" customWidth="1"/>
    <col min="168" max="174" width="8.7109375" customWidth="1"/>
    <col min="175" max="175" width="7.28515625" customWidth="1"/>
    <col min="176" max="176" width="11.28515625" bestFit="1" customWidth="1"/>
  </cols>
  <sheetData>
    <row r="1" spans="1:6" x14ac:dyDescent="0.25">
      <c r="A1" s="11" t="s">
        <v>199</v>
      </c>
      <c r="B1" t="s">
        <v>194</v>
      </c>
    </row>
    <row r="2" spans="1:6" x14ac:dyDescent="0.25">
      <c r="A2" s="11" t="s">
        <v>91</v>
      </c>
      <c r="B2" t="s">
        <v>200</v>
      </c>
    </row>
    <row r="3" spans="1:6" x14ac:dyDescent="0.25">
      <c r="A3" s="11" t="s">
        <v>8</v>
      </c>
      <c r="B3" t="s">
        <v>200</v>
      </c>
    </row>
    <row r="4" spans="1:6" x14ac:dyDescent="0.25">
      <c r="A4" s="11" t="s">
        <v>97</v>
      </c>
      <c r="B4" t="s">
        <v>200</v>
      </c>
    </row>
    <row r="5" spans="1:6" x14ac:dyDescent="0.25">
      <c r="A5" s="11" t="s">
        <v>119</v>
      </c>
      <c r="B5" t="s">
        <v>156</v>
      </c>
    </row>
    <row r="7" spans="1:6" x14ac:dyDescent="0.25">
      <c r="A7" s="11" t="s">
        <v>195</v>
      </c>
      <c r="B7" s="11" t="s">
        <v>193</v>
      </c>
    </row>
    <row r="8" spans="1:6" x14ac:dyDescent="0.25">
      <c r="A8" s="11" t="s">
        <v>191</v>
      </c>
      <c r="B8" t="s">
        <v>160</v>
      </c>
      <c r="C8" t="s">
        <v>161</v>
      </c>
      <c r="D8" t="s">
        <v>134</v>
      </c>
      <c r="E8" t="s">
        <v>162</v>
      </c>
      <c r="F8" t="s">
        <v>192</v>
      </c>
    </row>
    <row r="9" spans="1:6" x14ac:dyDescent="0.25">
      <c r="A9" s="8" t="s">
        <v>75</v>
      </c>
      <c r="B9" s="13"/>
      <c r="C9" s="13">
        <v>1</v>
      </c>
      <c r="D9" s="13">
        <v>1</v>
      </c>
      <c r="E9" s="13">
        <v>1</v>
      </c>
      <c r="F9" s="13">
        <v>3</v>
      </c>
    </row>
    <row r="10" spans="1:6" x14ac:dyDescent="0.25">
      <c r="A10" s="8" t="s">
        <v>155</v>
      </c>
      <c r="B10" s="13"/>
      <c r="C10" s="13">
        <v>1</v>
      </c>
      <c r="D10" s="13">
        <v>1</v>
      </c>
      <c r="E10" s="13"/>
      <c r="F10" s="13">
        <v>2</v>
      </c>
    </row>
    <row r="11" spans="1:6" x14ac:dyDescent="0.25">
      <c r="A11" s="8" t="s">
        <v>154</v>
      </c>
      <c r="B11" s="13">
        <v>8</v>
      </c>
      <c r="C11" s="13">
        <v>6</v>
      </c>
      <c r="D11" s="13">
        <v>6</v>
      </c>
      <c r="E11" s="13">
        <v>1</v>
      </c>
      <c r="F11" s="13">
        <v>21</v>
      </c>
    </row>
    <row r="12" spans="1:6" x14ac:dyDescent="0.25">
      <c r="A12" s="8" t="s">
        <v>192</v>
      </c>
      <c r="B12" s="13">
        <v>8</v>
      </c>
      <c r="C12" s="13">
        <v>8</v>
      </c>
      <c r="D12" s="13">
        <v>8</v>
      </c>
      <c r="E12" s="13">
        <v>2</v>
      </c>
      <c r="F12" s="13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31" sqref="E3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"/>
  <sheetViews>
    <sheetView tabSelected="1" workbookViewId="0">
      <selection activeCell="A6" sqref="A6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11</v>
      </c>
      <c r="B2">
        <v>12</v>
      </c>
      <c r="C2">
        <v>13</v>
      </c>
      <c r="D2">
        <v>14</v>
      </c>
      <c r="E2">
        <v>15</v>
      </c>
      <c r="F2">
        <v>16</v>
      </c>
      <c r="G2">
        <v>17</v>
      </c>
      <c r="H2">
        <v>18</v>
      </c>
      <c r="I2">
        <v>19</v>
      </c>
      <c r="J2">
        <v>20</v>
      </c>
    </row>
    <row r="3" spans="1:10" x14ac:dyDescent="0.25">
      <c r="A3">
        <v>21</v>
      </c>
      <c r="B3">
        <v>22</v>
      </c>
      <c r="C3">
        <v>23</v>
      </c>
      <c r="D3">
        <v>24</v>
      </c>
      <c r="E3">
        <v>25</v>
      </c>
      <c r="F3">
        <v>26</v>
      </c>
      <c r="G3">
        <v>27</v>
      </c>
      <c r="H3">
        <v>28</v>
      </c>
      <c r="I3">
        <v>29</v>
      </c>
      <c r="J3">
        <v>30</v>
      </c>
    </row>
    <row r="4" spans="1:10" x14ac:dyDescent="0.25">
      <c r="A4">
        <v>31</v>
      </c>
      <c r="B4">
        <v>32</v>
      </c>
      <c r="C4">
        <v>33</v>
      </c>
      <c r="D4">
        <v>34</v>
      </c>
      <c r="E4">
        <v>35</v>
      </c>
      <c r="F4">
        <v>36</v>
      </c>
      <c r="G4">
        <v>37</v>
      </c>
      <c r="H4">
        <v>38</v>
      </c>
      <c r="I4">
        <v>39</v>
      </c>
      <c r="J4">
        <v>40</v>
      </c>
    </row>
    <row r="5" spans="1:10" x14ac:dyDescent="0.25">
      <c r="A5">
        <v>41</v>
      </c>
      <c r="B5">
        <v>42</v>
      </c>
      <c r="C5">
        <v>43</v>
      </c>
      <c r="D5">
        <v>44</v>
      </c>
      <c r="E5">
        <v>45</v>
      </c>
      <c r="F5">
        <v>46</v>
      </c>
      <c r="G5">
        <v>47</v>
      </c>
      <c r="H5">
        <v>48</v>
      </c>
      <c r="I5">
        <v>49</v>
      </c>
      <c r="J5">
        <v>50</v>
      </c>
    </row>
    <row r="6" spans="1:10" x14ac:dyDescent="0.25">
      <c r="A6">
        <v>51</v>
      </c>
    </row>
    <row r="7" spans="1:10" x14ac:dyDescent="0.25">
      <c r="A7" t="s">
        <v>728</v>
      </c>
      <c r="B7" t="s">
        <v>729</v>
      </c>
      <c r="C7" t="s">
        <v>730</v>
      </c>
    </row>
    <row r="8" spans="1:10" x14ac:dyDescent="0.25">
      <c r="A8">
        <v>10</v>
      </c>
      <c r="B8">
        <v>20</v>
      </c>
      <c r="C8">
        <v>30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05"/>
  <sheetViews>
    <sheetView workbookViewId="0">
      <selection activeCell="B3" sqref="B3"/>
    </sheetView>
  </sheetViews>
  <sheetFormatPr defaultRowHeight="15" x14ac:dyDescent="0.25"/>
  <cols>
    <col min="1" max="1" width="39.85546875" customWidth="1"/>
    <col min="2" max="2" width="11" customWidth="1"/>
    <col min="16" max="16" width="27.140625" customWidth="1"/>
  </cols>
  <sheetData>
    <row r="1" spans="1:17" x14ac:dyDescent="0.25">
      <c r="A1" t="s">
        <v>129</v>
      </c>
      <c r="P1" t="s">
        <v>146</v>
      </c>
    </row>
    <row r="3" spans="1:17" x14ac:dyDescent="0.25">
      <c r="A3" t="s">
        <v>130</v>
      </c>
      <c r="B3" t="e">
        <f>COUNTIFS(#REF!,"01.2016",#REF!,1)</f>
        <v>#REF!</v>
      </c>
      <c r="P3" t="s">
        <v>130</v>
      </c>
      <c r="Q3" t="e">
        <f>COUNTIFS(#REF!,"*01.2016",#REF!,1)</f>
        <v>#REF!</v>
      </c>
    </row>
    <row r="4" spans="1:17" x14ac:dyDescent="0.25">
      <c r="A4" t="s">
        <v>131</v>
      </c>
      <c r="B4" t="e">
        <f>COUNTIFS(#REF!,"02.2016",#REF!,1)</f>
        <v>#REF!</v>
      </c>
      <c r="P4" t="s">
        <v>131</v>
      </c>
      <c r="Q4" t="e">
        <f>COUNTIFS(#REF!,"*02.2016",#REF!,1)</f>
        <v>#REF!</v>
      </c>
    </row>
    <row r="5" spans="1:17" x14ac:dyDescent="0.25">
      <c r="A5" t="s">
        <v>132</v>
      </c>
      <c r="B5" t="e">
        <f>COUNTIFS(#REF!,"03.2016",#REF!,1)</f>
        <v>#REF!</v>
      </c>
      <c r="P5" t="s">
        <v>132</v>
      </c>
      <c r="Q5" t="e">
        <f>COUNTIFS(#REF!,"*03.2016",#REF!,1)</f>
        <v>#REF!</v>
      </c>
    </row>
    <row r="6" spans="1:17" x14ac:dyDescent="0.25">
      <c r="A6" t="s">
        <v>133</v>
      </c>
      <c r="B6" t="e">
        <f>COUNTIFS(#REF!,"04.2016",#REF!,1)</f>
        <v>#REF!</v>
      </c>
      <c r="P6" t="s">
        <v>133</v>
      </c>
      <c r="Q6" t="e">
        <f>COUNTIFS(#REF!,"*04.2016",#REF!,1)</f>
        <v>#REF!</v>
      </c>
    </row>
    <row r="7" spans="1:17" x14ac:dyDescent="0.25">
      <c r="A7" t="s">
        <v>134</v>
      </c>
      <c r="B7" t="e">
        <f>COUNTIFS(#REF!,"05.2016",#REF!,1)</f>
        <v>#REF!</v>
      </c>
      <c r="P7" t="s">
        <v>134</v>
      </c>
      <c r="Q7" t="e">
        <f>COUNTIFS(#REF!,"*05.2016",#REF!,1)</f>
        <v>#REF!</v>
      </c>
    </row>
    <row r="8" spans="1:17" x14ac:dyDescent="0.25">
      <c r="A8" t="s">
        <v>135</v>
      </c>
      <c r="B8" t="e">
        <f>COUNTIFS(#REF!,"06.2016",#REF!,1)</f>
        <v>#REF!</v>
      </c>
      <c r="P8" t="s">
        <v>135</v>
      </c>
      <c r="Q8" t="e">
        <f>COUNTIFS(#REF!,"*06.2016",#REF!,1)</f>
        <v>#REF!</v>
      </c>
    </row>
    <row r="9" spans="1:17" x14ac:dyDescent="0.25">
      <c r="A9" t="s">
        <v>136</v>
      </c>
      <c r="B9" t="e">
        <f>COUNTIFS(#REF!,"07.2016",#REF!,1)</f>
        <v>#REF!</v>
      </c>
      <c r="P9" t="s">
        <v>136</v>
      </c>
      <c r="Q9" t="e">
        <f>COUNTIFS(#REF!,"*07.2016",#REF!,1)</f>
        <v>#REF!</v>
      </c>
    </row>
    <row r="10" spans="1:17" x14ac:dyDescent="0.25">
      <c r="A10" t="s">
        <v>137</v>
      </c>
      <c r="B10" t="e">
        <f>COUNTIFS(#REF!,"08.2016",#REF!,1)</f>
        <v>#REF!</v>
      </c>
      <c r="P10" t="s">
        <v>137</v>
      </c>
      <c r="Q10" t="e">
        <f>COUNTIFS(#REF!,"*08.2016",#REF!,1)</f>
        <v>#REF!</v>
      </c>
    </row>
    <row r="11" spans="1:17" x14ac:dyDescent="0.25">
      <c r="A11" t="s">
        <v>138</v>
      </c>
      <c r="B11" t="e">
        <f>COUNTIFS(#REF!,"09.2016",#REF!,1)</f>
        <v>#REF!</v>
      </c>
      <c r="P11" t="s">
        <v>138</v>
      </c>
      <c r="Q11" t="e">
        <f>COUNTIFS(#REF!,"*09.2016",#REF!,1)</f>
        <v>#REF!</v>
      </c>
    </row>
    <row r="12" spans="1:17" x14ac:dyDescent="0.25">
      <c r="A12" t="s">
        <v>139</v>
      </c>
      <c r="B12" t="e">
        <f>COUNTIFS(#REF!,"10.2016",#REF!,1)</f>
        <v>#REF!</v>
      </c>
      <c r="P12" t="s">
        <v>139</v>
      </c>
      <c r="Q12" t="e">
        <f>COUNTIFS(#REF!,"*10.2016",#REF!,1)</f>
        <v>#REF!</v>
      </c>
    </row>
    <row r="13" spans="1:17" x14ac:dyDescent="0.25">
      <c r="A13" t="s">
        <v>140</v>
      </c>
      <c r="B13" t="e">
        <f>COUNTIFS(#REF!,"11.2016",#REF!,1)</f>
        <v>#REF!</v>
      </c>
      <c r="P13" t="s">
        <v>140</v>
      </c>
      <c r="Q13" t="e">
        <f>COUNTIFS(#REF!,"*11.2016",#REF!,1)</f>
        <v>#REF!</v>
      </c>
    </row>
    <row r="14" spans="1:17" x14ac:dyDescent="0.25">
      <c r="A14" t="s">
        <v>141</v>
      </c>
      <c r="B14" t="e">
        <f>COUNTIFS(#REF!,"12.2016",#REF!,1)</f>
        <v>#REF!</v>
      </c>
      <c r="P14" t="s">
        <v>141</v>
      </c>
      <c r="Q14" t="e">
        <f>COUNTIFS(#REF!,"*12.2016",#REF!,1)</f>
        <v>#REF!</v>
      </c>
    </row>
    <row r="15" spans="1:17" x14ac:dyDescent="0.25">
      <c r="B15" t="e">
        <f>SUM(B3:B14)</f>
        <v>#REF!</v>
      </c>
      <c r="Q15" t="e">
        <f>SUM(Q3:Q14)</f>
        <v>#REF!</v>
      </c>
    </row>
    <row r="19" spans="1:17" x14ac:dyDescent="0.25">
      <c r="P19" t="s">
        <v>129</v>
      </c>
      <c r="Q19" t="e">
        <f>B15</f>
        <v>#REF!</v>
      </c>
    </row>
    <row r="20" spans="1:17" x14ac:dyDescent="0.25">
      <c r="A20" t="s">
        <v>97</v>
      </c>
      <c r="B20" t="s">
        <v>148</v>
      </c>
      <c r="P20" t="s">
        <v>147</v>
      </c>
      <c r="Q20" t="e">
        <f>B15-Q15</f>
        <v>#REF!</v>
      </c>
    </row>
    <row r="21" spans="1:17" x14ac:dyDescent="0.25">
      <c r="A21" t="s">
        <v>101</v>
      </c>
      <c r="B21" t="e">
        <f>COUNTIFS(#REF!,A21,#REF!,1)</f>
        <v>#REF!</v>
      </c>
      <c r="P21" t="s">
        <v>146</v>
      </c>
      <c r="Q21" t="e">
        <f>Q15</f>
        <v>#REF!</v>
      </c>
    </row>
    <row r="22" spans="1:17" x14ac:dyDescent="0.25">
      <c r="A22" t="s">
        <v>142</v>
      </c>
      <c r="B22" t="e">
        <f>COUNTIFS(#REF!,A22,#REF!,1)</f>
        <v>#REF!</v>
      </c>
    </row>
    <row r="23" spans="1:17" x14ac:dyDescent="0.25">
      <c r="A23" t="s">
        <v>102</v>
      </c>
      <c r="B23" t="e">
        <f>COUNTIFS(#REF!,A23,#REF!,1)</f>
        <v>#REF!</v>
      </c>
    </row>
    <row r="24" spans="1:17" x14ac:dyDescent="0.25">
      <c r="A24" t="s">
        <v>103</v>
      </c>
      <c r="B24" t="e">
        <f>COUNTIFS(#REF!,A24,#REF!,1)</f>
        <v>#REF!</v>
      </c>
    </row>
    <row r="25" spans="1:17" x14ac:dyDescent="0.25">
      <c r="A25" t="s">
        <v>110</v>
      </c>
      <c r="B25" t="e">
        <f>COUNTIFS(#REF!,A25,#REF!,1)</f>
        <v>#REF!</v>
      </c>
    </row>
    <row r="26" spans="1:17" x14ac:dyDescent="0.25">
      <c r="A26" t="s">
        <v>109</v>
      </c>
      <c r="B26" t="e">
        <f>COUNTIFS(#REF!,A26,#REF!,1)</f>
        <v>#REF!</v>
      </c>
    </row>
    <row r="27" spans="1:17" x14ac:dyDescent="0.25">
      <c r="A27" t="s">
        <v>106</v>
      </c>
      <c r="B27" t="e">
        <f>COUNTIFS(#REF!,A27,#REF!,1)</f>
        <v>#REF!</v>
      </c>
    </row>
    <row r="28" spans="1:17" x14ac:dyDescent="0.25">
      <c r="A28" t="s">
        <v>98</v>
      </c>
      <c r="B28" t="e">
        <f>COUNTIFS(#REF!,A28,#REF!,1)</f>
        <v>#REF!</v>
      </c>
    </row>
    <row r="29" spans="1:17" x14ac:dyDescent="0.25">
      <c r="A29" t="s">
        <v>104</v>
      </c>
      <c r="B29" t="e">
        <f>COUNTIFS(#REF!,A29,#REF!,1)</f>
        <v>#REF!</v>
      </c>
    </row>
    <row r="30" spans="1:17" x14ac:dyDescent="0.25">
      <c r="A30" t="s">
        <v>113</v>
      </c>
      <c r="B30" t="e">
        <f>COUNTIFS(#REF!,A30,#REF!,1)</f>
        <v>#REF!</v>
      </c>
    </row>
    <row r="31" spans="1:17" x14ac:dyDescent="0.25">
      <c r="A31" t="s">
        <v>111</v>
      </c>
      <c r="B31" t="e">
        <f>COUNTIFS(#REF!,A31,#REF!,1)</f>
        <v>#REF!</v>
      </c>
    </row>
    <row r="32" spans="1:17" x14ac:dyDescent="0.25">
      <c r="A32" t="s">
        <v>100</v>
      </c>
      <c r="B32" t="e">
        <f>COUNTIFS(#REF!,A32,#REF!,1)</f>
        <v>#REF!</v>
      </c>
    </row>
    <row r="33" spans="1:27" x14ac:dyDescent="0.25">
      <c r="A33" t="s">
        <v>118</v>
      </c>
      <c r="B33" t="e">
        <f>COUNTIFS(#REF!,A33,#REF!,1)</f>
        <v>#REF!</v>
      </c>
    </row>
    <row r="34" spans="1:27" x14ac:dyDescent="0.25">
      <c r="A34" t="s">
        <v>115</v>
      </c>
      <c r="B34" t="e">
        <f>COUNTIFS(#REF!,A34,#REF!,1)</f>
        <v>#REF!</v>
      </c>
    </row>
    <row r="35" spans="1:27" x14ac:dyDescent="0.25">
      <c r="A35" t="s">
        <v>112</v>
      </c>
      <c r="B35" t="e">
        <f>COUNTIFS(#REF!,A35,#REF!,1)</f>
        <v>#REF!</v>
      </c>
    </row>
    <row r="36" spans="1:27" x14ac:dyDescent="0.25">
      <c r="A36" t="s">
        <v>105</v>
      </c>
      <c r="B36" t="e">
        <f>COUNTIFS(#REF!,A36,#REF!,1)</f>
        <v>#REF!</v>
      </c>
      <c r="P36" t="s">
        <v>17</v>
      </c>
      <c r="Q36" t="e">
        <f>COUNTIFS(#REF!,"Emergency",#REF!,1)</f>
        <v>#REF!</v>
      </c>
    </row>
    <row r="37" spans="1:27" x14ac:dyDescent="0.25">
      <c r="A37" t="s">
        <v>117</v>
      </c>
      <c r="B37" t="e">
        <f>COUNTIFS(#REF!,A37,#REF!,1)</f>
        <v>#REF!</v>
      </c>
      <c r="P37" t="s">
        <v>16</v>
      </c>
      <c r="Q37" t="e">
        <f>COUNTIFS(#REF!,"High",#REF!,1)</f>
        <v>#REF!</v>
      </c>
    </row>
    <row r="38" spans="1:27" x14ac:dyDescent="0.25">
      <c r="A38" t="s">
        <v>107</v>
      </c>
      <c r="B38" t="e">
        <f>COUNTIFS(#REF!,A38,#REF!,1)</f>
        <v>#REF!</v>
      </c>
      <c r="P38" t="s">
        <v>13</v>
      </c>
      <c r="Q38" t="e">
        <f>COUNTIFS(#REF!,"Medium",#REF!,1)</f>
        <v>#REF!</v>
      </c>
    </row>
    <row r="39" spans="1:27" x14ac:dyDescent="0.25">
      <c r="A39" t="s">
        <v>114</v>
      </c>
      <c r="B39" t="e">
        <f>COUNTIFS(#REF!,A39,#REF!,1)</f>
        <v>#REF!</v>
      </c>
      <c r="P39" t="s">
        <v>15</v>
      </c>
      <c r="Q39" t="e">
        <f>COUNTIFS(#REF!,"Low",#REF!,1)</f>
        <v>#REF!</v>
      </c>
    </row>
    <row r="40" spans="1:27" x14ac:dyDescent="0.25">
      <c r="A40" t="s">
        <v>108</v>
      </c>
      <c r="B40" t="e">
        <f>COUNTIFS(#REF!,A40,#REF!,1)</f>
        <v>#REF!</v>
      </c>
      <c r="Q40" t="e">
        <f>SUM(Q36:Q39)</f>
        <v>#REF!</v>
      </c>
    </row>
    <row r="41" spans="1:27" x14ac:dyDescent="0.25">
      <c r="A41" t="s">
        <v>99</v>
      </c>
      <c r="B41" t="e">
        <f>COUNTIFS(#REF!,A41,#REF!,1)</f>
        <v>#REF!</v>
      </c>
    </row>
    <row r="42" spans="1:27" x14ac:dyDescent="0.25">
      <c r="A42" t="s">
        <v>116</v>
      </c>
      <c r="B42" t="e">
        <f>COUNTIFS(#REF!,A42,#REF!,1)</f>
        <v>#REF!</v>
      </c>
    </row>
    <row r="43" spans="1:27" x14ac:dyDescent="0.25">
      <c r="B43" t="e">
        <f>SUM(B21:B42)</f>
        <v>#REF!</v>
      </c>
    </row>
    <row r="46" spans="1:27" x14ac:dyDescent="0.25">
      <c r="P46" t="s">
        <v>125</v>
      </c>
      <c r="Q46" t="e">
        <f>COUNTIFS(#REF!,P46,#REF!,1)</f>
        <v>#REF!</v>
      </c>
      <c r="Z46" t="s">
        <v>149</v>
      </c>
      <c r="AA46" t="e">
        <f>Q46+Q47+Q48+Q52+Q53+Q54</f>
        <v>#REF!</v>
      </c>
    </row>
    <row r="47" spans="1:27" x14ac:dyDescent="0.25">
      <c r="A47" t="s">
        <v>144</v>
      </c>
      <c r="B47" t="s">
        <v>145</v>
      </c>
      <c r="P47" t="s">
        <v>124</v>
      </c>
      <c r="Q47" t="e">
        <f>COUNTIFS(#REF!,P47,#REF!,1)</f>
        <v>#REF!</v>
      </c>
      <c r="Z47" t="s">
        <v>150</v>
      </c>
      <c r="AA47" t="e">
        <f>Q49</f>
        <v>#REF!</v>
      </c>
    </row>
    <row r="48" spans="1:27" x14ac:dyDescent="0.25">
      <c r="A48" t="s">
        <v>36</v>
      </c>
      <c r="B48" t="e">
        <f>COUNTIFS(#REF!,A48,#REF!,1)</f>
        <v>#REF!</v>
      </c>
      <c r="P48" t="s">
        <v>121</v>
      </c>
      <c r="Q48" t="e">
        <f>COUNTIFS(#REF!,P48,#REF!,1)</f>
        <v>#REF!</v>
      </c>
      <c r="Z48" t="s">
        <v>151</v>
      </c>
      <c r="AA48" t="e">
        <f>Q50</f>
        <v>#REF!</v>
      </c>
    </row>
    <row r="49" spans="1:27" x14ac:dyDescent="0.25">
      <c r="A49" t="s">
        <v>38</v>
      </c>
      <c r="B49" t="e">
        <f>COUNTIFS(#REF!,A49,#REF!,1)</f>
        <v>#REF!</v>
      </c>
      <c r="P49" t="s">
        <v>120</v>
      </c>
      <c r="Q49" t="e">
        <f>COUNTIFS(#REF!,P49,#REF!,1)</f>
        <v>#REF!</v>
      </c>
      <c r="Z49" t="s">
        <v>152</v>
      </c>
      <c r="AA49" t="e">
        <f>Q51</f>
        <v>#REF!</v>
      </c>
    </row>
    <row r="50" spans="1:27" x14ac:dyDescent="0.25">
      <c r="A50" t="s">
        <v>56</v>
      </c>
      <c r="B50" t="e">
        <f>COUNTIFS(#REF!,A50,#REF!,1)</f>
        <v>#REF!</v>
      </c>
      <c r="P50" t="s">
        <v>123</v>
      </c>
      <c r="Q50" t="e">
        <f>COUNTIFS(#REF!,P50,#REF!,1)</f>
        <v>#REF!</v>
      </c>
      <c r="AA50" t="e">
        <f>SUM(AA46:AA49)</f>
        <v>#REF!</v>
      </c>
    </row>
    <row r="51" spans="1:27" x14ac:dyDescent="0.25">
      <c r="A51" t="s">
        <v>61</v>
      </c>
      <c r="B51" t="e">
        <f>COUNTIFS(#REF!,A51,#REF!,1)</f>
        <v>#REF!</v>
      </c>
      <c r="P51" t="s">
        <v>128</v>
      </c>
      <c r="Q51" t="e">
        <f>COUNTIFS(#REF!,P51,#REF!,1)</f>
        <v>#REF!</v>
      </c>
    </row>
    <row r="52" spans="1:27" x14ac:dyDescent="0.25">
      <c r="A52" t="s">
        <v>52</v>
      </c>
      <c r="B52" t="e">
        <f>COUNTIFS(#REF!,A52,#REF!,1)</f>
        <v>#REF!</v>
      </c>
      <c r="P52" t="s">
        <v>127</v>
      </c>
      <c r="Q52" t="e">
        <f>COUNTIFS(#REF!,P52,#REF!,1)</f>
        <v>#REF!</v>
      </c>
    </row>
    <row r="53" spans="1:27" x14ac:dyDescent="0.25">
      <c r="A53" t="s">
        <v>39</v>
      </c>
      <c r="B53" t="e">
        <f>COUNTIFS(#REF!,A53,#REF!,1)</f>
        <v>#REF!</v>
      </c>
      <c r="P53" t="s">
        <v>126</v>
      </c>
      <c r="Q53" t="e">
        <f>COUNTIFS(#REF!,P53,#REF!,1)</f>
        <v>#REF!</v>
      </c>
    </row>
    <row r="54" spans="1:27" x14ac:dyDescent="0.25">
      <c r="A54" t="s">
        <v>34</v>
      </c>
      <c r="B54" t="e">
        <f>COUNTIFS(#REF!,A54,#REF!,1)</f>
        <v>#REF!</v>
      </c>
      <c r="P54" t="s">
        <v>122</v>
      </c>
      <c r="Q54" t="e">
        <f>COUNTIFS(#REF!,P54,#REF!,1)</f>
        <v>#REF!</v>
      </c>
    </row>
    <row r="55" spans="1:27" x14ac:dyDescent="0.25">
      <c r="A55" t="s">
        <v>54</v>
      </c>
      <c r="B55" t="e">
        <f>COUNTIFS(#REF!,A55,#REF!,1)</f>
        <v>#REF!</v>
      </c>
      <c r="Q55" t="e">
        <f>SUM(Q46:Q54)</f>
        <v>#REF!</v>
      </c>
    </row>
    <row r="56" spans="1:27" x14ac:dyDescent="0.25">
      <c r="A56" t="s">
        <v>87</v>
      </c>
      <c r="B56" t="e">
        <f>COUNTIFS(#REF!,A56,#REF!,1)</f>
        <v>#REF!</v>
      </c>
    </row>
    <row r="57" spans="1:27" x14ac:dyDescent="0.25">
      <c r="A57" t="s">
        <v>58</v>
      </c>
      <c r="B57" t="e">
        <f>COUNTIFS(#REF!,A57,#REF!,1)</f>
        <v>#REF!</v>
      </c>
    </row>
    <row r="58" spans="1:27" x14ac:dyDescent="0.25">
      <c r="A58" t="s">
        <v>78</v>
      </c>
      <c r="B58" t="e">
        <f>COUNTIFS(#REF!,A58,#REF!,1)</f>
        <v>#REF!</v>
      </c>
    </row>
    <row r="59" spans="1:27" x14ac:dyDescent="0.25">
      <c r="A59" t="s">
        <v>75</v>
      </c>
      <c r="B59" t="e">
        <f>COUNTIFS(#REF!,A59,#REF!,1)</f>
        <v>#REF!</v>
      </c>
    </row>
    <row r="60" spans="1:27" x14ac:dyDescent="0.25">
      <c r="A60" t="s">
        <v>80</v>
      </c>
      <c r="B60" t="e">
        <f>COUNTIFS(#REF!,A60,#REF!,1)</f>
        <v>#REF!</v>
      </c>
    </row>
    <row r="61" spans="1:27" x14ac:dyDescent="0.25">
      <c r="A61" t="s">
        <v>46</v>
      </c>
      <c r="B61" t="e">
        <f>COUNTIFS(#REF!,A61,#REF!,1)</f>
        <v>#REF!</v>
      </c>
    </row>
    <row r="62" spans="1:27" x14ac:dyDescent="0.25">
      <c r="A62" t="s">
        <v>50</v>
      </c>
      <c r="B62" t="e">
        <f>COUNTIFS(#REF!,A62,#REF!,1)</f>
        <v>#REF!</v>
      </c>
    </row>
    <row r="63" spans="1:27" x14ac:dyDescent="0.25">
      <c r="A63" t="s">
        <v>35</v>
      </c>
      <c r="B63" t="e">
        <f>COUNTIFS(#REF!,A63,#REF!,1)</f>
        <v>#REF!</v>
      </c>
      <c r="P63" t="s">
        <v>20</v>
      </c>
    </row>
    <row r="64" spans="1:27" x14ac:dyDescent="0.25">
      <c r="A64" t="s">
        <v>44</v>
      </c>
      <c r="B64" t="e">
        <f>COUNTIFS(#REF!,A64,#REF!,1)</f>
        <v>#REF!</v>
      </c>
      <c r="P64" t="s">
        <v>21</v>
      </c>
      <c r="Q64" t="e">
        <f>COUNTIFS(#REF!,P64,#REF!,1)</f>
        <v>#REF!</v>
      </c>
    </row>
    <row r="65" spans="1:17" x14ac:dyDescent="0.25">
      <c r="A65" t="s">
        <v>43</v>
      </c>
      <c r="B65" t="e">
        <f>COUNTIFS(#REF!,A65,#REF!,1)</f>
        <v>#REF!</v>
      </c>
      <c r="P65" t="s">
        <v>28</v>
      </c>
      <c r="Q65" t="e">
        <f>COUNTIFS(#REF!,P65,#REF!,1)</f>
        <v>#REF!</v>
      </c>
    </row>
    <row r="66" spans="1:17" x14ac:dyDescent="0.25">
      <c r="A66" t="s">
        <v>55</v>
      </c>
      <c r="B66" t="e">
        <f>COUNTIFS(#REF!,A66,#REF!,1)</f>
        <v>#REF!</v>
      </c>
      <c r="P66" t="s">
        <v>23</v>
      </c>
      <c r="Q66" t="e">
        <f>COUNTIFS(#REF!,P66,#REF!,1)</f>
        <v>#REF!</v>
      </c>
    </row>
    <row r="67" spans="1:17" x14ac:dyDescent="0.25">
      <c r="A67" t="s">
        <v>41</v>
      </c>
      <c r="B67" t="e">
        <f>COUNTIFS(#REF!,A67,#REF!,1)</f>
        <v>#REF!</v>
      </c>
      <c r="P67" t="s">
        <v>30</v>
      </c>
      <c r="Q67" t="e">
        <f>COUNTIFS(#REF!,P67,#REF!,1)</f>
        <v>#REF!</v>
      </c>
    </row>
    <row r="68" spans="1:17" x14ac:dyDescent="0.25">
      <c r="A68" t="s">
        <v>48</v>
      </c>
      <c r="B68" t="e">
        <f>COUNTIFS(#REF!,A68,#REF!,1)</f>
        <v>#REF!</v>
      </c>
      <c r="P68" t="s">
        <v>24</v>
      </c>
      <c r="Q68" t="e">
        <f>COUNTIFS(#REF!,P68,#REF!,1)</f>
        <v>#REF!</v>
      </c>
    </row>
    <row r="69" spans="1:17" x14ac:dyDescent="0.25">
      <c r="A69" t="s">
        <v>37</v>
      </c>
      <c r="B69" t="e">
        <f>COUNTIFS(#REF!,A69,#REF!,1)</f>
        <v>#REF!</v>
      </c>
      <c r="P69" t="s">
        <v>29</v>
      </c>
      <c r="Q69" t="e">
        <f>COUNTIFS(#REF!,P69,#REF!,1)</f>
        <v>#REF!</v>
      </c>
    </row>
    <row r="70" spans="1:17" x14ac:dyDescent="0.25">
      <c r="A70" t="s">
        <v>45</v>
      </c>
      <c r="B70" t="e">
        <f>COUNTIFS(#REF!,A70,#REF!,1)</f>
        <v>#REF!</v>
      </c>
      <c r="P70" t="s">
        <v>22</v>
      </c>
      <c r="Q70" t="e">
        <f>COUNTIFS(#REF!,P70,#REF!,1)</f>
        <v>#REF!</v>
      </c>
    </row>
    <row r="71" spans="1:17" x14ac:dyDescent="0.25">
      <c r="A71" t="s">
        <v>70</v>
      </c>
      <c r="B71" t="e">
        <f>COUNTIFS(#REF!,A71,#REF!,1)</f>
        <v>#REF!</v>
      </c>
      <c r="P71" t="s">
        <v>25</v>
      </c>
      <c r="Q71" t="e">
        <f>COUNTIFS(#REF!,P71,#REF!,1)</f>
        <v>#REF!</v>
      </c>
    </row>
    <row r="72" spans="1:17" x14ac:dyDescent="0.25">
      <c r="A72" t="s">
        <v>47</v>
      </c>
      <c r="B72" t="e">
        <f>COUNTIFS(#REF!,A72,#REF!,1)</f>
        <v>#REF!</v>
      </c>
      <c r="P72" t="s">
        <v>26</v>
      </c>
      <c r="Q72" t="e">
        <f>COUNTIFS(#REF!,P72,#REF!,1)</f>
        <v>#REF!</v>
      </c>
    </row>
    <row r="73" spans="1:17" x14ac:dyDescent="0.25">
      <c r="A73" t="s">
        <v>73</v>
      </c>
      <c r="B73" t="e">
        <f>COUNTIFS(#REF!,A73,#REF!,1)</f>
        <v>#REF!</v>
      </c>
      <c r="P73" t="s">
        <v>27</v>
      </c>
      <c r="Q73" t="e">
        <f>COUNTIFS(#REF!,P73,#REF!,1)</f>
        <v>#REF!</v>
      </c>
    </row>
    <row r="74" spans="1:17" x14ac:dyDescent="0.25">
      <c r="A74" t="s">
        <v>42</v>
      </c>
      <c r="B74" t="e">
        <f>COUNTIFS(#REF!,A74,#REF!,1)</f>
        <v>#REF!</v>
      </c>
      <c r="Q74" t="e">
        <f>SUM(Q64:Q73)</f>
        <v>#REF!</v>
      </c>
    </row>
    <row r="75" spans="1:17" x14ac:dyDescent="0.25">
      <c r="A75" t="s">
        <v>33</v>
      </c>
      <c r="B75" t="e">
        <f>COUNTIFS(#REF!,A75,#REF!,1)</f>
        <v>#REF!</v>
      </c>
    </row>
    <row r="76" spans="1:17" x14ac:dyDescent="0.25">
      <c r="A76" t="s">
        <v>74</v>
      </c>
      <c r="B76" t="e">
        <f>COUNTIFS(#REF!,A76,#REF!,1)</f>
        <v>#REF!</v>
      </c>
    </row>
    <row r="77" spans="1:17" x14ac:dyDescent="0.25">
      <c r="A77" t="s">
        <v>57</v>
      </c>
      <c r="B77" t="e">
        <f>COUNTIFS(#REF!,A77,#REF!,1)</f>
        <v>#REF!</v>
      </c>
      <c r="P77" t="s">
        <v>18</v>
      </c>
      <c r="Q77" t="e">
        <f>COUNTIFS(#REF!,P77,#REF!,1)</f>
        <v>#REF!</v>
      </c>
    </row>
    <row r="78" spans="1:17" x14ac:dyDescent="0.25">
      <c r="A78" t="s">
        <v>62</v>
      </c>
      <c r="B78" t="e">
        <f>COUNTIFS(#REF!,A78,#REF!,1)</f>
        <v>#REF!</v>
      </c>
      <c r="P78" t="s">
        <v>14</v>
      </c>
      <c r="Q78" t="e">
        <f>COUNTIFS(#REF!,P78,#REF!,1)</f>
        <v>#REF!</v>
      </c>
    </row>
    <row r="79" spans="1:17" x14ac:dyDescent="0.25">
      <c r="A79" t="s">
        <v>32</v>
      </c>
      <c r="B79" t="e">
        <f>COUNTIFS(#REF!,A79,#REF!,1)</f>
        <v>#REF!</v>
      </c>
      <c r="P79" t="s">
        <v>19</v>
      </c>
      <c r="Q79" t="e">
        <f>COUNTIFS(#REF!,P79,#REF!,1)</f>
        <v>#REF!</v>
      </c>
    </row>
    <row r="80" spans="1:17" x14ac:dyDescent="0.25">
      <c r="A80" t="s">
        <v>64</v>
      </c>
      <c r="B80" t="e">
        <f>COUNTIFS(#REF!,A80,#REF!,1)</f>
        <v>#REF!</v>
      </c>
      <c r="Q80" t="e">
        <f>SUM(Q77:Q79)</f>
        <v>#REF!</v>
      </c>
    </row>
    <row r="81" spans="1:2" x14ac:dyDescent="0.25">
      <c r="A81" t="s">
        <v>51</v>
      </c>
      <c r="B81" t="e">
        <f>COUNTIFS(#REF!,A81,#REF!,1)</f>
        <v>#REF!</v>
      </c>
    </row>
    <row r="82" spans="1:2" x14ac:dyDescent="0.25">
      <c r="A82" t="s">
        <v>66</v>
      </c>
      <c r="B82" t="e">
        <f>COUNTIFS(#REF!,A82,#REF!,1)</f>
        <v>#REF!</v>
      </c>
    </row>
    <row r="83" spans="1:2" x14ac:dyDescent="0.25">
      <c r="A83" t="s">
        <v>71</v>
      </c>
      <c r="B83" t="e">
        <f>COUNTIFS(#REF!,A83,#REF!,1)</f>
        <v>#REF!</v>
      </c>
    </row>
    <row r="84" spans="1:2" x14ac:dyDescent="0.25">
      <c r="A84" t="s">
        <v>69</v>
      </c>
      <c r="B84" t="e">
        <f>COUNTIFS(#REF!,A84,#REF!,1)</f>
        <v>#REF!</v>
      </c>
    </row>
    <row r="85" spans="1:2" x14ac:dyDescent="0.25">
      <c r="A85" t="s">
        <v>53</v>
      </c>
      <c r="B85" t="e">
        <f>COUNTIFS(#REF!,A85,#REF!,1)</f>
        <v>#REF!</v>
      </c>
    </row>
    <row r="86" spans="1:2" x14ac:dyDescent="0.25">
      <c r="A86" t="s">
        <v>40</v>
      </c>
      <c r="B86" t="e">
        <f>COUNTIFS(#REF!,A86,#REF!,1)</f>
        <v>#REF!</v>
      </c>
    </row>
    <row r="87" spans="1:2" x14ac:dyDescent="0.25">
      <c r="A87" t="s">
        <v>76</v>
      </c>
      <c r="B87" t="e">
        <f>COUNTIFS(#REF!,A87,#REF!,1)</f>
        <v>#REF!</v>
      </c>
    </row>
    <row r="88" spans="1:2" x14ac:dyDescent="0.25">
      <c r="A88" t="s">
        <v>68</v>
      </c>
      <c r="B88" t="e">
        <f>COUNTIFS(#REF!,A88,#REF!,1)</f>
        <v>#REF!</v>
      </c>
    </row>
    <row r="89" spans="1:2" x14ac:dyDescent="0.25">
      <c r="A89" t="s">
        <v>81</v>
      </c>
      <c r="B89" t="e">
        <f>COUNTIFS(#REF!,A89,#REF!,1)</f>
        <v>#REF!</v>
      </c>
    </row>
    <row r="90" spans="1:2" x14ac:dyDescent="0.25">
      <c r="A90" t="s">
        <v>72</v>
      </c>
      <c r="B90" t="e">
        <f>COUNTIFS(#REF!,A90,#REF!,1)</f>
        <v>#REF!</v>
      </c>
    </row>
    <row r="91" spans="1:2" x14ac:dyDescent="0.25">
      <c r="A91" t="s">
        <v>79</v>
      </c>
      <c r="B91" t="e">
        <f>COUNTIFS(#REF!,A91,#REF!,1)</f>
        <v>#REF!</v>
      </c>
    </row>
    <row r="92" spans="1:2" x14ac:dyDescent="0.25">
      <c r="A92" t="s">
        <v>49</v>
      </c>
      <c r="B92" t="e">
        <f>COUNTIFS(#REF!,A92,#REF!,1)</f>
        <v>#REF!</v>
      </c>
    </row>
    <row r="93" spans="1:2" x14ac:dyDescent="0.25">
      <c r="A93" t="s">
        <v>86</v>
      </c>
      <c r="B93" t="e">
        <f>COUNTIFS(#REF!,A93,#REF!,1)</f>
        <v>#REF!</v>
      </c>
    </row>
    <row r="94" spans="1:2" x14ac:dyDescent="0.25">
      <c r="A94" t="s">
        <v>60</v>
      </c>
      <c r="B94" t="e">
        <f>COUNTIFS(#REF!,A94,#REF!,1)</f>
        <v>#REF!</v>
      </c>
    </row>
    <row r="95" spans="1:2" x14ac:dyDescent="0.25">
      <c r="A95" t="s">
        <v>77</v>
      </c>
      <c r="B95" t="e">
        <f>COUNTIFS(#REF!,A95,#REF!,1)</f>
        <v>#REF!</v>
      </c>
    </row>
    <row r="96" spans="1:2" x14ac:dyDescent="0.25">
      <c r="A96" t="s">
        <v>84</v>
      </c>
      <c r="B96" t="e">
        <f>COUNTIFS(#REF!,A96,#REF!,1)</f>
        <v>#REF!</v>
      </c>
    </row>
    <row r="97" spans="1:2" x14ac:dyDescent="0.25">
      <c r="A97" t="s">
        <v>65</v>
      </c>
      <c r="B97" t="e">
        <f>COUNTIFS(#REF!,A97,#REF!,1)</f>
        <v>#REF!</v>
      </c>
    </row>
    <row r="98" spans="1:2" x14ac:dyDescent="0.25">
      <c r="A98" t="s">
        <v>63</v>
      </c>
      <c r="B98" t="e">
        <f>COUNTIFS(#REF!,A98,#REF!,1)</f>
        <v>#REF!</v>
      </c>
    </row>
    <row r="99" spans="1:2" x14ac:dyDescent="0.25">
      <c r="A99" t="s">
        <v>85</v>
      </c>
      <c r="B99" t="e">
        <f>COUNTIFS(#REF!,A99,#REF!,1)</f>
        <v>#REF!</v>
      </c>
    </row>
    <row r="100" spans="1:2" x14ac:dyDescent="0.25">
      <c r="A100" t="s">
        <v>83</v>
      </c>
      <c r="B100" t="e">
        <f>COUNTIFS(#REF!,A100,#REF!,1)</f>
        <v>#REF!</v>
      </c>
    </row>
    <row r="101" spans="1:2" x14ac:dyDescent="0.25">
      <c r="A101" t="s">
        <v>88</v>
      </c>
      <c r="B101" t="e">
        <f>COUNTIFS(#REF!,A101,#REF!,1)</f>
        <v>#REF!</v>
      </c>
    </row>
    <row r="102" spans="1:2" x14ac:dyDescent="0.25">
      <c r="A102" t="s">
        <v>82</v>
      </c>
      <c r="B102" t="e">
        <f>COUNTIFS(#REF!,A102,#REF!,1)</f>
        <v>#REF!</v>
      </c>
    </row>
    <row r="103" spans="1:2" x14ac:dyDescent="0.25">
      <c r="A103" t="s">
        <v>67</v>
      </c>
      <c r="B103" t="e">
        <f>COUNTIFS(#REF!,A103,#REF!,1)</f>
        <v>#REF!</v>
      </c>
    </row>
    <row r="104" spans="1:2" x14ac:dyDescent="0.25">
      <c r="A104" t="s">
        <v>59</v>
      </c>
      <c r="B104" t="e">
        <f>COUNTIFS(#REF!,A104,#REF!,1)</f>
        <v>#REF!</v>
      </c>
    </row>
    <row r="105" spans="1:2" x14ac:dyDescent="0.25">
      <c r="B105" t="e">
        <f>SUM(B48:B104)</f>
        <v>#REF!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C8"/>
  <sheetViews>
    <sheetView workbookViewId="0">
      <selection activeCell="H33" sqref="H33"/>
    </sheetView>
  </sheetViews>
  <sheetFormatPr defaultRowHeight="15" x14ac:dyDescent="0.25"/>
  <cols>
    <col min="7" max="7" width="15.7109375" customWidth="1"/>
  </cols>
  <sheetData>
    <row r="4" spans="2:3" x14ac:dyDescent="0.25">
      <c r="B4" t="s">
        <v>130</v>
      </c>
      <c r="C4" t="e">
        <f>COUNTIFS(#REF!,"01.2016",#REF!,1)</f>
        <v>#REF!</v>
      </c>
    </row>
    <row r="5" spans="2:3" x14ac:dyDescent="0.25">
      <c r="B5" t="s">
        <v>131</v>
      </c>
      <c r="C5" t="e">
        <f>COUNTIFS(#REF!,"02.2016",#REF!,1)</f>
        <v>#REF!</v>
      </c>
    </row>
    <row r="6" spans="2:3" x14ac:dyDescent="0.25">
      <c r="B6" t="s">
        <v>132</v>
      </c>
      <c r="C6" t="e">
        <f>COUNTIFS(#REF!,"03.2016",#REF!,1)</f>
        <v>#REF!</v>
      </c>
    </row>
    <row r="7" spans="2:3" x14ac:dyDescent="0.25">
      <c r="B7" t="s">
        <v>133</v>
      </c>
      <c r="C7" t="e">
        <f>COUNTIFS(#REF!,"04.2016",#REF!,1)</f>
        <v>#REF!</v>
      </c>
    </row>
    <row r="8" spans="2:3" x14ac:dyDescent="0.25">
      <c r="B8" t="s">
        <v>134</v>
      </c>
      <c r="C8" t="e">
        <f>COUNTIFS(#REF!,"05.2016",#REF!,1)</f>
        <v>#REF!</v>
      </c>
    </row>
  </sheetData>
  <sortState ref="A2:A5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Control</vt:lpstr>
      <vt:lpstr>Statistics</vt:lpstr>
      <vt:lpstr>CSRs</vt:lpstr>
      <vt:lpstr>inflow</vt:lpstr>
      <vt:lpstr>inflow2</vt:lpstr>
      <vt:lpstr>Sheet3</vt:lpstr>
      <vt:lpstr>Customer</vt:lpstr>
      <vt:lpstr>Release</vt:lpstr>
      <vt:lpstr>Sheet1</vt:lpstr>
      <vt:lpstr>Sheet2</vt:lpstr>
      <vt:lpstr>CSRs!SAPCrosstab2</vt:lpstr>
    </vt:vector>
  </TitlesOfParts>
  <Company>Ericsson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 Wang ICY</dc:creator>
  <cp:lastModifiedBy>Lishan Chao</cp:lastModifiedBy>
  <dcterms:created xsi:type="dcterms:W3CDTF">2015-05-18T02:27:10Z</dcterms:created>
  <dcterms:modified xsi:type="dcterms:W3CDTF">2016-12-15T07:51:33Z</dcterms:modified>
</cp:coreProperties>
</file>